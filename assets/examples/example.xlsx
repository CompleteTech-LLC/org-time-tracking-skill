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timot\Documents\projects\org-comms-export-skill\tests\out\"/>
    </mc:Choice>
  </mc:AlternateContent>
  <xr:revisionPtr revIDLastSave="0" documentId="13_ncr:1_{9C22B6CE-D33B-4645-A6FA-D9188B658733}" xr6:coauthVersionLast="47" xr6:coauthVersionMax="47" xr10:uidLastSave="{00000000-0000-0000-0000-000000000000}"/>
  <bookViews>
    <workbookView xWindow="990" yWindow="2835" windowWidth="22785" windowHeight="17895" xr2:uid="{00000000-000D-0000-FFFF-FFFF00000000}"/>
  </bookViews>
  <sheets>
    <sheet name="Summary" sheetId="1" r:id="rId1"/>
    <sheet name="Time Spent" sheetId="2" r:id="rId2"/>
    <sheet name="Calendar View" sheetId="3" r:id="rId3"/>
    <sheet name="Daily Time" sheetId="4" r:id="rId4"/>
    <sheet name="Day Detail" sheetId="5" r:id="rId5"/>
    <sheet name="Meetings" sheetId="6" r:id="rId6"/>
    <sheet name="Teams Sessions" sheetId="7" r:id="rId7"/>
    <sheet name="Teams Messages" sheetId="8" r:id="rId8"/>
    <sheet name="Tasks" sheetId="9" r:id="rId9"/>
    <sheet name="Communications" sheetId="10" r:id="rId10"/>
    <sheet name="Alert Rollup" sheetId="11" r:id="rId11"/>
  </sheets>
  <definedNames>
    <definedName name="_xlnm._FilterDatabase" localSheetId="9" hidden="1">Communications!$A$1:$H$13</definedName>
    <definedName name="_xlnm._FilterDatabase" localSheetId="4" hidden="1">'Day Detail'!$A$1:$K$16</definedName>
    <definedName name="_xlnm._FilterDatabase" localSheetId="5" hidden="1">Meetings!$A$1:$O$8</definedName>
    <definedName name="_xlnm._FilterDatabase" localSheetId="8" hidden="1">Tasks!$A$1:$K$3</definedName>
    <definedName name="_xlnm._FilterDatabase" localSheetId="7" hidden="1">'Teams Messages'!$A$1:$F$9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1" l="1"/>
  <c r="C3" i="11" s="1"/>
  <c r="B2" i="11"/>
  <c r="B4" i="11" s="1"/>
  <c r="H4" i="9"/>
  <c r="G4" i="9"/>
  <c r="I3" i="9"/>
  <c r="I2" i="9"/>
  <c r="I4" i="9" s="1"/>
  <c r="B11" i="1" s="1"/>
  <c r="F6" i="7"/>
  <c r="E6" i="7"/>
  <c r="G4" i="7"/>
  <c r="H4" i="7" s="1"/>
  <c r="G3" i="7"/>
  <c r="H3" i="7" s="1"/>
  <c r="G2" i="7"/>
  <c r="O8" i="6"/>
  <c r="M8" i="6"/>
  <c r="L16" i="4" s="1"/>
  <c r="L8" i="6"/>
  <c r="N16" i="4" s="1"/>
  <c r="K8" i="6"/>
  <c r="K16" i="4" s="1"/>
  <c r="E16" i="4" s="1"/>
  <c r="G8" i="6"/>
  <c r="B8" i="6"/>
  <c r="O7" i="6"/>
  <c r="M7" i="6"/>
  <c r="L14" i="4" s="1"/>
  <c r="M14" i="4" s="1"/>
  <c r="F14" i="4" s="1"/>
  <c r="L7" i="6"/>
  <c r="N7" i="6" s="1"/>
  <c r="O14" i="4" s="1"/>
  <c r="P14" i="4" s="1"/>
  <c r="K7" i="6"/>
  <c r="K14" i="4" s="1"/>
  <c r="E14" i="4" s="1"/>
  <c r="G7" i="6"/>
  <c r="B7" i="6"/>
  <c r="O6" i="6"/>
  <c r="M6" i="6"/>
  <c r="L10" i="4" s="1"/>
  <c r="M10" i="4" s="1"/>
  <c r="F10" i="4" s="1"/>
  <c r="L6" i="6"/>
  <c r="N6" i="6" s="1"/>
  <c r="O10" i="4" s="1"/>
  <c r="P10" i="4" s="1"/>
  <c r="K6" i="6"/>
  <c r="K10" i="4" s="1"/>
  <c r="E10" i="4" s="1"/>
  <c r="G6" i="6"/>
  <c r="B6" i="6"/>
  <c r="O5" i="6"/>
  <c r="M5" i="6"/>
  <c r="L9" i="4" s="1"/>
  <c r="M9" i="4" s="1"/>
  <c r="F9" i="4" s="1"/>
  <c r="G11" i="5" s="1"/>
  <c r="K5" i="6"/>
  <c r="G10" i="5" s="1"/>
  <c r="I10" i="5" s="1"/>
  <c r="G5" i="6"/>
  <c r="L5" i="6" s="1"/>
  <c r="B5" i="6"/>
  <c r="O4" i="6"/>
  <c r="M4" i="6"/>
  <c r="K4" i="6"/>
  <c r="G4" i="6"/>
  <c r="L4" i="6" s="1"/>
  <c r="B4" i="6"/>
  <c r="O3" i="6"/>
  <c r="M3" i="6"/>
  <c r="L3" i="4" s="1"/>
  <c r="M3" i="4" s="1"/>
  <c r="F3" i="4" s="1"/>
  <c r="L3" i="6"/>
  <c r="K3" i="6"/>
  <c r="K3" i="4" s="1"/>
  <c r="E3" i="4" s="1"/>
  <c r="G3" i="6"/>
  <c r="B3" i="6"/>
  <c r="O2" i="6"/>
  <c r="M2" i="6"/>
  <c r="L2" i="4" s="1"/>
  <c r="K2" i="6"/>
  <c r="K2" i="4" s="1"/>
  <c r="G2" i="6"/>
  <c r="L2" i="6" s="1"/>
  <c r="B2" i="6"/>
  <c r="B16" i="5"/>
  <c r="B15" i="5"/>
  <c r="B14" i="5"/>
  <c r="G13" i="5"/>
  <c r="J13" i="5" s="1"/>
  <c r="B13" i="5"/>
  <c r="G12" i="5"/>
  <c r="I12" i="5" s="1"/>
  <c r="B12" i="5"/>
  <c r="B11" i="5"/>
  <c r="B10" i="5"/>
  <c r="B9" i="5"/>
  <c r="G8" i="5"/>
  <c r="I8" i="5" s="1"/>
  <c r="B8" i="5"/>
  <c r="B7" i="5"/>
  <c r="G6" i="5"/>
  <c r="I6" i="5" s="1"/>
  <c r="B6" i="5"/>
  <c r="B5" i="5"/>
  <c r="B4" i="5"/>
  <c r="B3" i="5"/>
  <c r="B2" i="5"/>
  <c r="P32" i="4"/>
  <c r="O32" i="4"/>
  <c r="N32" i="4"/>
  <c r="L32" i="4"/>
  <c r="M32" i="4" s="1"/>
  <c r="F32" i="4" s="1"/>
  <c r="K32" i="4"/>
  <c r="E32" i="4" s="1"/>
  <c r="G32" i="4"/>
  <c r="C32" i="4"/>
  <c r="B32" i="4"/>
  <c r="O31" i="4"/>
  <c r="P31" i="4" s="1"/>
  <c r="N31" i="4"/>
  <c r="L31" i="4"/>
  <c r="M31" i="4" s="1"/>
  <c r="F31" i="4" s="1"/>
  <c r="K31" i="4"/>
  <c r="G31" i="4"/>
  <c r="E31" i="4"/>
  <c r="C31" i="4"/>
  <c r="B31" i="4"/>
  <c r="O30" i="4"/>
  <c r="P30" i="4" s="1"/>
  <c r="N30" i="4"/>
  <c r="L30" i="4"/>
  <c r="M30" i="4" s="1"/>
  <c r="F30" i="4" s="1"/>
  <c r="K30" i="4"/>
  <c r="G30" i="4"/>
  <c r="E30" i="4"/>
  <c r="C30" i="4"/>
  <c r="B30" i="4"/>
  <c r="O29" i="4"/>
  <c r="P29" i="4" s="1"/>
  <c r="N29" i="4"/>
  <c r="L29" i="4"/>
  <c r="M29" i="4" s="1"/>
  <c r="F29" i="4" s="1"/>
  <c r="K29" i="4"/>
  <c r="E29" i="4" s="1"/>
  <c r="G29" i="4"/>
  <c r="C29" i="4"/>
  <c r="B29" i="4"/>
  <c r="O28" i="4"/>
  <c r="P28" i="4" s="1"/>
  <c r="N28" i="4"/>
  <c r="L28" i="4"/>
  <c r="M28" i="4" s="1"/>
  <c r="F28" i="4" s="1"/>
  <c r="K28" i="4"/>
  <c r="E28" i="4" s="1"/>
  <c r="G28" i="4"/>
  <c r="C28" i="4"/>
  <c r="B28" i="4"/>
  <c r="O27" i="4"/>
  <c r="P27" i="4" s="1"/>
  <c r="N27" i="4"/>
  <c r="L27" i="4"/>
  <c r="M27" i="4" s="1"/>
  <c r="F27" i="4" s="1"/>
  <c r="K27" i="4"/>
  <c r="E27" i="4" s="1"/>
  <c r="G27" i="4"/>
  <c r="C27" i="4"/>
  <c r="B27" i="4"/>
  <c r="O26" i="4"/>
  <c r="P26" i="4" s="1"/>
  <c r="N26" i="4"/>
  <c r="L26" i="4"/>
  <c r="M26" i="4" s="1"/>
  <c r="F26" i="4" s="1"/>
  <c r="K26" i="4"/>
  <c r="E26" i="4" s="1"/>
  <c r="G26" i="4"/>
  <c r="C26" i="4"/>
  <c r="B26" i="4"/>
  <c r="O25" i="4"/>
  <c r="P25" i="4" s="1"/>
  <c r="N25" i="4"/>
  <c r="L25" i="4"/>
  <c r="M25" i="4" s="1"/>
  <c r="F25" i="4" s="1"/>
  <c r="K25" i="4"/>
  <c r="E25" i="4" s="1"/>
  <c r="G25" i="4"/>
  <c r="C25" i="4"/>
  <c r="B25" i="4"/>
  <c r="O24" i="4"/>
  <c r="P24" i="4" s="1"/>
  <c r="N24" i="4"/>
  <c r="L24" i="4"/>
  <c r="M24" i="4" s="1"/>
  <c r="F24" i="4" s="1"/>
  <c r="K24" i="4"/>
  <c r="G24" i="4"/>
  <c r="E24" i="4"/>
  <c r="D24" i="4"/>
  <c r="C24" i="4"/>
  <c r="B24" i="4"/>
  <c r="O23" i="4"/>
  <c r="P23" i="4" s="1"/>
  <c r="N23" i="4"/>
  <c r="M23" i="4"/>
  <c r="L23" i="4"/>
  <c r="K23" i="4"/>
  <c r="G23" i="4"/>
  <c r="F23" i="4"/>
  <c r="E23" i="4"/>
  <c r="C23" i="4"/>
  <c r="B23" i="4"/>
  <c r="O22" i="4"/>
  <c r="P22" i="4" s="1"/>
  <c r="N22" i="4"/>
  <c r="L22" i="4"/>
  <c r="M22" i="4" s="1"/>
  <c r="F22" i="4" s="1"/>
  <c r="K22" i="4"/>
  <c r="G22" i="4"/>
  <c r="E22" i="4"/>
  <c r="C22" i="4"/>
  <c r="B22" i="4"/>
  <c r="O21" i="4"/>
  <c r="P21" i="4" s="1"/>
  <c r="N21" i="4"/>
  <c r="L21" i="4"/>
  <c r="M21" i="4" s="1"/>
  <c r="F21" i="4" s="1"/>
  <c r="K21" i="4"/>
  <c r="E21" i="4" s="1"/>
  <c r="G21" i="4"/>
  <c r="D21" i="4"/>
  <c r="C21" i="4"/>
  <c r="B21" i="4"/>
  <c r="O20" i="4"/>
  <c r="P20" i="4" s="1"/>
  <c r="N20" i="4"/>
  <c r="L20" i="4"/>
  <c r="M20" i="4" s="1"/>
  <c r="F20" i="4" s="1"/>
  <c r="K20" i="4"/>
  <c r="E20" i="4" s="1"/>
  <c r="G20" i="4"/>
  <c r="C20" i="4"/>
  <c r="B20" i="4"/>
  <c r="O19" i="4"/>
  <c r="P19" i="4" s="1"/>
  <c r="N19" i="4"/>
  <c r="L19" i="4"/>
  <c r="M19" i="4" s="1"/>
  <c r="F19" i="4" s="1"/>
  <c r="K19" i="4"/>
  <c r="G19" i="4"/>
  <c r="E19" i="4"/>
  <c r="C19" i="4"/>
  <c r="B19" i="4"/>
  <c r="O18" i="4"/>
  <c r="P18" i="4" s="1"/>
  <c r="N18" i="4"/>
  <c r="L18" i="4"/>
  <c r="M18" i="4" s="1"/>
  <c r="F18" i="4" s="1"/>
  <c r="K18" i="4"/>
  <c r="E18" i="4" s="1"/>
  <c r="G18" i="4"/>
  <c r="C18" i="4"/>
  <c r="B18" i="4"/>
  <c r="O17" i="4"/>
  <c r="P17" i="4" s="1"/>
  <c r="N17" i="4"/>
  <c r="L17" i="4"/>
  <c r="M17" i="4" s="1"/>
  <c r="F17" i="4" s="1"/>
  <c r="K17" i="4"/>
  <c r="G17" i="4"/>
  <c r="E17" i="4"/>
  <c r="D17" i="4"/>
  <c r="C17" i="4"/>
  <c r="B17" i="4"/>
  <c r="G16" i="4"/>
  <c r="B16" i="4"/>
  <c r="O15" i="4"/>
  <c r="P15" i="4" s="1"/>
  <c r="N15" i="4"/>
  <c r="L15" i="4"/>
  <c r="M15" i="4" s="1"/>
  <c r="F15" i="4" s="1"/>
  <c r="K15" i="4"/>
  <c r="G15" i="4"/>
  <c r="E15" i="4"/>
  <c r="C15" i="4"/>
  <c r="B15" i="4"/>
  <c r="G14" i="4"/>
  <c r="C14" i="4"/>
  <c r="B14" i="4"/>
  <c r="P13" i="4"/>
  <c r="O13" i="4"/>
  <c r="N13" i="4"/>
  <c r="L13" i="4"/>
  <c r="M13" i="4" s="1"/>
  <c r="F13" i="4" s="1"/>
  <c r="K13" i="4"/>
  <c r="G13" i="4"/>
  <c r="E13" i="4"/>
  <c r="C13" i="4"/>
  <c r="B13" i="4"/>
  <c r="O12" i="4"/>
  <c r="P12" i="4" s="1"/>
  <c r="N12" i="4"/>
  <c r="L12" i="4"/>
  <c r="M12" i="4" s="1"/>
  <c r="F12" i="4" s="1"/>
  <c r="K12" i="4"/>
  <c r="E12" i="4" s="1"/>
  <c r="G12" i="4"/>
  <c r="C12" i="4"/>
  <c r="B12" i="4"/>
  <c r="O11" i="4"/>
  <c r="P11" i="4" s="1"/>
  <c r="N11" i="4"/>
  <c r="L11" i="4"/>
  <c r="M11" i="4" s="1"/>
  <c r="F11" i="4" s="1"/>
  <c r="K11" i="4"/>
  <c r="G11" i="4"/>
  <c r="E11" i="4"/>
  <c r="C11" i="4"/>
  <c r="B11" i="4"/>
  <c r="G10" i="4"/>
  <c r="C10" i="4"/>
  <c r="B10" i="4"/>
  <c r="K9" i="4"/>
  <c r="E9" i="4" s="1"/>
  <c r="G9" i="4"/>
  <c r="C9" i="4"/>
  <c r="B9" i="4"/>
  <c r="O8" i="4"/>
  <c r="P8" i="4" s="1"/>
  <c r="N8" i="4"/>
  <c r="L8" i="4"/>
  <c r="M8" i="4" s="1"/>
  <c r="F8" i="4" s="1"/>
  <c r="K8" i="4"/>
  <c r="G8" i="4"/>
  <c r="E8" i="4"/>
  <c r="D8" i="4"/>
  <c r="C8" i="4"/>
  <c r="B8" i="4"/>
  <c r="L7" i="4"/>
  <c r="M7" i="4" s="1"/>
  <c r="F7" i="4" s="1"/>
  <c r="G9" i="5" s="1"/>
  <c r="K7" i="4"/>
  <c r="E7" i="4" s="1"/>
  <c r="G7" i="4"/>
  <c r="B7" i="4"/>
  <c r="O6" i="4"/>
  <c r="P6" i="4" s="1"/>
  <c r="N6" i="4"/>
  <c r="L6" i="4"/>
  <c r="M6" i="4" s="1"/>
  <c r="F6" i="4" s="1"/>
  <c r="K6" i="4"/>
  <c r="G6" i="4"/>
  <c r="E6" i="4"/>
  <c r="C6" i="4"/>
  <c r="B6" i="4"/>
  <c r="O5" i="4"/>
  <c r="P5" i="4" s="1"/>
  <c r="N5" i="4"/>
  <c r="L5" i="4"/>
  <c r="M5" i="4" s="1"/>
  <c r="F5" i="4" s="1"/>
  <c r="K5" i="4"/>
  <c r="E5" i="4" s="1"/>
  <c r="G5" i="4"/>
  <c r="D5" i="4"/>
  <c r="C5" i="4"/>
  <c r="B5" i="4"/>
  <c r="O4" i="4"/>
  <c r="P4" i="4" s="1"/>
  <c r="N4" i="4"/>
  <c r="L4" i="4"/>
  <c r="M4" i="4" s="1"/>
  <c r="F4" i="4" s="1"/>
  <c r="K4" i="4"/>
  <c r="G4" i="4"/>
  <c r="E4" i="4"/>
  <c r="C4" i="4"/>
  <c r="B4" i="4"/>
  <c r="G3" i="4"/>
  <c r="C3" i="4"/>
  <c r="B3" i="4"/>
  <c r="G2" i="4"/>
  <c r="B2" i="4"/>
  <c r="G1" i="4"/>
  <c r="F1" i="4"/>
  <c r="E1" i="4"/>
  <c r="D1" i="4"/>
  <c r="C1" i="4"/>
  <c r="D6" i="2"/>
  <c r="E6" i="2" s="1"/>
  <c r="B6" i="2"/>
  <c r="I5" i="2"/>
  <c r="D19" i="4" s="1"/>
  <c r="B3" i="2"/>
  <c r="D3" i="2" s="1"/>
  <c r="E3" i="2" s="1"/>
  <c r="B2" i="2"/>
  <c r="B18" i="1"/>
  <c r="B17" i="1"/>
  <c r="B16" i="1"/>
  <c r="B15" i="1"/>
  <c r="B14" i="1"/>
  <c r="B13" i="1"/>
  <c r="B12" i="1"/>
  <c r="B10" i="1"/>
  <c r="B9" i="1"/>
  <c r="N2" i="6" l="1"/>
  <c r="O2" i="4" s="1"/>
  <c r="N2" i="4"/>
  <c r="G14" i="5"/>
  <c r="C16" i="4"/>
  <c r="I13" i="5"/>
  <c r="H24" i="4"/>
  <c r="J12" i="5"/>
  <c r="H12" i="5"/>
  <c r="H8" i="4"/>
  <c r="I8" i="4" s="1"/>
  <c r="H13" i="5"/>
  <c r="H19" i="4"/>
  <c r="D14" i="4"/>
  <c r="H5" i="4"/>
  <c r="H8" i="3" s="1"/>
  <c r="D10" i="4"/>
  <c r="H10" i="4" s="1"/>
  <c r="G5" i="5"/>
  <c r="I5" i="5" s="1"/>
  <c r="G6" i="7"/>
  <c r="H17" i="4"/>
  <c r="H21" i="4"/>
  <c r="C14" i="3" s="1"/>
  <c r="H6" i="5"/>
  <c r="D26" i="4"/>
  <c r="H26" i="4" s="1"/>
  <c r="D30" i="4"/>
  <c r="H30" i="4" s="1"/>
  <c r="D15" i="4"/>
  <c r="H15" i="4" s="1"/>
  <c r="G33" i="4"/>
  <c r="D31" i="4"/>
  <c r="H31" i="4" s="1"/>
  <c r="I17" i="4"/>
  <c r="F12" i="3"/>
  <c r="F14" i="3"/>
  <c r="I24" i="4"/>
  <c r="H4" i="4"/>
  <c r="M2" i="4"/>
  <c r="E2" i="4"/>
  <c r="E33" i="4" s="1"/>
  <c r="I11" i="5"/>
  <c r="H11" i="5"/>
  <c r="J11" i="5"/>
  <c r="J10" i="5"/>
  <c r="M16" i="4"/>
  <c r="F16" i="4" s="1"/>
  <c r="G16" i="5" s="1"/>
  <c r="J15" i="5" s="1"/>
  <c r="N9" i="4"/>
  <c r="N5" i="6"/>
  <c r="O9" i="4" s="1"/>
  <c r="P9" i="4" s="1"/>
  <c r="I19" i="4"/>
  <c r="H12" i="3"/>
  <c r="H14" i="4"/>
  <c r="G7" i="5"/>
  <c r="C7" i="4"/>
  <c r="N4" i="6"/>
  <c r="O7" i="4" s="1"/>
  <c r="N7" i="4"/>
  <c r="I9" i="5"/>
  <c r="H9" i="5"/>
  <c r="N14" i="4"/>
  <c r="N8" i="6"/>
  <c r="O16" i="4" s="1"/>
  <c r="P16" i="4" s="1"/>
  <c r="H14" i="5"/>
  <c r="D6" i="4"/>
  <c r="H6" i="4" s="1"/>
  <c r="D22" i="4"/>
  <c r="H22" i="4" s="1"/>
  <c r="H8" i="5"/>
  <c r="G15" i="5"/>
  <c r="H2" i="7"/>
  <c r="D13" i="4"/>
  <c r="H13" i="4" s="1"/>
  <c r="D11" i="4"/>
  <c r="H11" i="4" s="1"/>
  <c r="D27" i="4"/>
  <c r="H27" i="4" s="1"/>
  <c r="N3" i="6"/>
  <c r="O3" i="4" s="1"/>
  <c r="P3" i="4" s="1"/>
  <c r="I14" i="5"/>
  <c r="G3" i="5"/>
  <c r="D4" i="4"/>
  <c r="D2" i="4"/>
  <c r="D18" i="4"/>
  <c r="H18" i="4" s="1"/>
  <c r="B4" i="2"/>
  <c r="D29" i="4"/>
  <c r="H29" i="4" s="1"/>
  <c r="D4" i="2"/>
  <c r="E4" i="2" s="1"/>
  <c r="D9" i="4"/>
  <c r="H9" i="4" s="1"/>
  <c r="D25" i="4"/>
  <c r="H25" i="4" s="1"/>
  <c r="N3" i="4"/>
  <c r="N10" i="4"/>
  <c r="D20" i="4"/>
  <c r="H20" i="4" s="1"/>
  <c r="H10" i="5"/>
  <c r="D16" i="4"/>
  <c r="D32" i="4"/>
  <c r="H32" i="4" s="1"/>
  <c r="D7" i="4"/>
  <c r="D23" i="4"/>
  <c r="H23" i="4" s="1"/>
  <c r="C2" i="11"/>
  <c r="C4" i="11" s="1"/>
  <c r="D12" i="4"/>
  <c r="H12" i="4" s="1"/>
  <c r="D28" i="4"/>
  <c r="H28" i="4" s="1"/>
  <c r="B8" i="2"/>
  <c r="D3" i="4"/>
  <c r="H3" i="4" s="1"/>
  <c r="I30" i="4" l="1"/>
  <c r="E16" i="3"/>
  <c r="H14" i="3"/>
  <c r="I26" i="4"/>
  <c r="I15" i="4"/>
  <c r="D12" i="3"/>
  <c r="J5" i="5"/>
  <c r="J6" i="5"/>
  <c r="I5" i="4"/>
  <c r="H5" i="5"/>
  <c r="I21" i="4"/>
  <c r="D10" i="3"/>
  <c r="P2" i="4"/>
  <c r="I27" i="4"/>
  <c r="B16" i="3"/>
  <c r="I11" i="4"/>
  <c r="G10" i="3"/>
  <c r="I13" i="4"/>
  <c r="B12" i="3"/>
  <c r="D14" i="3"/>
  <c r="I22" i="4"/>
  <c r="B10" i="3"/>
  <c r="I6" i="4"/>
  <c r="B14" i="3"/>
  <c r="I20" i="4"/>
  <c r="I3" i="4"/>
  <c r="F8" i="3"/>
  <c r="I32" i="4"/>
  <c r="G16" i="3"/>
  <c r="I15" i="5"/>
  <c r="H15" i="5"/>
  <c r="H16" i="4"/>
  <c r="I18" i="4"/>
  <c r="G12" i="3"/>
  <c r="I23" i="4"/>
  <c r="E14" i="3"/>
  <c r="F16" i="3"/>
  <c r="I31" i="4"/>
  <c r="H7" i="4"/>
  <c r="I7" i="5"/>
  <c r="J9" i="5"/>
  <c r="H7" i="5"/>
  <c r="J8" i="5"/>
  <c r="J7" i="5"/>
  <c r="I4" i="4"/>
  <c r="G8" i="3"/>
  <c r="J14" i="5"/>
  <c r="H10" i="3"/>
  <c r="I12" i="4"/>
  <c r="P7" i="4"/>
  <c r="D8" i="2" s="1"/>
  <c r="E8" i="2" s="1"/>
  <c r="I14" i="4"/>
  <c r="C12" i="3"/>
  <c r="J16" i="5"/>
  <c r="I16" i="5"/>
  <c r="H16" i="5"/>
  <c r="G14" i="3"/>
  <c r="I25" i="4"/>
  <c r="H6" i="7"/>
  <c r="D2" i="2" s="1"/>
  <c r="C2" i="4"/>
  <c r="G2" i="5"/>
  <c r="F10" i="3"/>
  <c r="I10" i="4"/>
  <c r="D5" i="2"/>
  <c r="E5" i="2" s="1"/>
  <c r="B5" i="2"/>
  <c r="B8" i="1" s="1"/>
  <c r="F2" i="4"/>
  <c r="I29" i="4"/>
  <c r="D16" i="3"/>
  <c r="I28" i="4"/>
  <c r="C16" i="3"/>
  <c r="I9" i="4"/>
  <c r="E10" i="3"/>
  <c r="D33" i="4"/>
  <c r="I3" i="5"/>
  <c r="H3" i="5"/>
  <c r="D7" i="2" l="1"/>
  <c r="D9" i="2"/>
  <c r="E9" i="2" s="1"/>
  <c r="B7" i="1" s="1"/>
  <c r="E2" i="2"/>
  <c r="I2" i="5"/>
  <c r="H2" i="5"/>
  <c r="I14" i="3"/>
  <c r="G4" i="5"/>
  <c r="F33" i="4"/>
  <c r="I16" i="4"/>
  <c r="E12" i="3"/>
  <c r="H2" i="4"/>
  <c r="C33" i="4"/>
  <c r="I16" i="3"/>
  <c r="I7" i="4"/>
  <c r="C10" i="3"/>
  <c r="I10" i="3" s="1"/>
  <c r="I12" i="3"/>
  <c r="I2" i="4" l="1"/>
  <c r="I33" i="4" s="1"/>
  <c r="H33" i="4"/>
  <c r="E8" i="3"/>
  <c r="I4" i="5"/>
  <c r="H4" i="5"/>
  <c r="G17" i="5"/>
  <c r="J2" i="5"/>
  <c r="J3" i="5"/>
  <c r="J4" i="5"/>
  <c r="E7" i="2"/>
  <c r="B6" i="1" s="1"/>
  <c r="H34" i="4"/>
  <c r="I8" i="3" l="1"/>
  <c r="I17" i="3"/>
  <c r="I18" i="3" s="1"/>
  <c r="I17" i="5"/>
  <c r="H17" i="5"/>
  <c r="G18" i="5"/>
  <c r="K18" i="5" s="1"/>
  <c r="I34" i="4"/>
  <c r="B3" i="3"/>
</calcChain>
</file>

<file path=xl/sharedStrings.xml><?xml version="1.0" encoding="utf-8"?>
<sst xmlns="http://schemas.openxmlformats.org/spreadsheetml/2006/main" count="365" uniqueCount="226">
  <si>
    <t>COMPLETETECH LLC</t>
  </si>
  <si>
    <t>Northwind Trading Co. time tracking, 2026-07-01 to 2026-07-31</t>
  </si>
  <si>
    <t>Innovation at Every Integration</t>
  </si>
  <si>
    <t>Metric</t>
  </si>
  <si>
    <t>Value</t>
  </si>
  <si>
    <t>Where to look</t>
  </si>
  <si>
    <t>My billed time (h), logged basis</t>
  </si>
  <si>
    <t>Time Spent tab; Calendar View shows it per day</t>
  </si>
  <si>
    <t xml:space="preserve">  same, best case (ignores the held rule) (h)</t>
  </si>
  <si>
    <t>Upper bound only</t>
  </si>
  <si>
    <t>Days with an actual meeting (day minimum applies)</t>
  </si>
  <si>
    <t>Meetings tab: held meetings only</t>
  </si>
  <si>
    <t>Teams sessions I took part in</t>
  </si>
  <si>
    <t>Teams Sessions tab; every message on Teams Messages</t>
  </si>
  <si>
    <t>Emails I wrote or drafted</t>
  </si>
  <si>
    <t>Communications tab</t>
  </si>
  <si>
    <t>Estimated task effort, likely (h)</t>
  </si>
  <si>
    <t>Range on Tasks tab; estimates, not tracked time</t>
  </si>
  <si>
    <t>Tasks identified</t>
  </si>
  <si>
    <t>Tasks tab</t>
  </si>
  <si>
    <t xml:space="preserve">  of which open or unknown status</t>
  </si>
  <si>
    <t>Evidence: email from the organization (staff)</t>
  </si>
  <si>
    <t>Evidence: related email (not from the domain)</t>
  </si>
  <si>
    <t>Evidence: automated alerts / system mail</t>
  </si>
  <si>
    <t>Alert Rollup tab by type and month</t>
  </si>
  <si>
    <t>Evidence: Teams messages</t>
  </si>
  <si>
    <t>Teams Messages tab</t>
  </si>
  <si>
    <t>Evidence: Teams messages written by me</t>
  </si>
  <si>
    <t>Notes</t>
  </si>
  <si>
    <t>Billing parameters (Time Spent tab): minimum per lapse 15 min, increment 15 min, meeting-day minimum 240 min, assumed 5 min per email. Yellow cells are inputs; all totals are formulas.</t>
  </si>
  <si>
    <t>Evidence rows (email, Teams) support the time figures above; email times are not captured, so email dates are day-level only.</t>
  </si>
  <si>
    <t>A meeting counts as held only if there was Teams conversation that day (rule parameter in the config).</t>
  </si>
  <si>
    <t>Secrets found in chats were redacted; rotate them if still live.</t>
  </si>
  <si>
    <t>Category</t>
  </si>
  <si>
    <t>Count</t>
  </si>
  <si>
    <t>Minutes each</t>
  </si>
  <si>
    <t>Total (min)</t>
  </si>
  <si>
    <t>Total (h)</t>
  </si>
  <si>
    <t>Basis</t>
  </si>
  <si>
    <t>Include unconfirmed items? (Yes/No)</t>
  </si>
  <si>
    <t>No</t>
  </si>
  <si>
    <t>Teams chat sessions I took part in</t>
  </si>
  <si>
    <t>Computed from message timestamps (see Teams Sessions), billed per session</t>
  </si>
  <si>
    <t>Meeting basis (Logged / Best case)</t>
  </si>
  <si>
    <t>Logged</t>
  </si>
  <si>
    <t>Email messages I wrote or drafted</t>
  </si>
  <si>
    <t>Actual effort assumed per message (yellow); billed per message follows I3/I4</t>
  </si>
  <si>
    <t>Minimum billable per lapse of time (min)</t>
  </si>
  <si>
    <t>Held meetings (Teams card minutes where recorded)</t>
  </si>
  <si>
    <t>Sum of 'Meeting ended' durations in Teams for held meetings; see Meetings tab</t>
  </si>
  <si>
    <t>Billing increment: round each lapse up to (min)</t>
  </si>
  <si>
    <t>Meeting-day minimum top-up (a day with an actual meeting bills at least the day minimum, I7)</t>
  </si>
  <si>
    <t>Held meetings only (scheduled and Teams conversation that day; not cancelled or postponed). Top-up = day minimum minus the meeting minutes already billed that day. Edit which meetings qualify on the Meetings tab, columns M and N.</t>
  </si>
  <si>
    <t>Billed minutes per email written</t>
  </si>
  <si>
    <t>Unconfirmed recurring items (only counted if toggle = Yes)</t>
  </si>
  <si>
    <t>Scheduled minutes in the period; awaiting confirmation they are work</t>
  </si>
  <si>
    <t>A lapse = one Teams session, one email written, or one meeting. Each lapse is raised to the minimum (I3), then rounded up to the increment (I4). Set I3 to 0 and I4 to 1 to see actual minutes.</t>
  </si>
  <si>
    <t>Total billed time (logged basis)</t>
  </si>
  <si>
    <t>Minimum billed for a day with an actual meeting (min)</t>
  </si>
  <si>
    <t>Best-case meetings incl. day minimum (ignores the held rule: every scheduled, non-cancelled call counted as held)</t>
  </si>
  <si>
    <t>Total using the best-case meeting figure</t>
  </si>
  <si>
    <t>Not included: reading time, phone calls, and work done after a chat or meeting (see Tasks). Meeting transcripts/recaps were not retrieved. Estimates, not tracked time.</t>
  </si>
  <si>
    <t>Time spent per day (minutes)</t>
  </si>
  <si>
    <t>Click any day to jump to its events on Day Detail. Linked to Daily Time, which sums the Time Spent line items. Billing settings, basis and toggle are on the Time Spent tab.</t>
  </si>
  <si>
    <t>Sun</t>
  </si>
  <si>
    <t>Mon</t>
  </si>
  <si>
    <t>Tue</t>
  </si>
  <si>
    <t>Wed</t>
  </si>
  <si>
    <t>Thu</t>
  </si>
  <si>
    <t>Fri</t>
  </si>
  <si>
    <t>Sat</t>
  </si>
  <si>
    <t>Week</t>
  </si>
  <si>
    <t>Month total</t>
  </si>
  <si>
    <t>(hours)</t>
  </si>
  <si>
    <t>Shading: white = none, light brand tint about 60 min, full tint 240 min or more. See Daily Time for the split.</t>
  </si>
  <si>
    <t>Date</t>
  </si>
  <si>
    <t>Day</t>
  </si>
  <si>
    <t>helper: meeting min (logged)</t>
  </si>
  <si>
    <t>helper: qualifying meetings (logged)</t>
  </si>
  <si>
    <t>Top-up (logged)</t>
  </si>
  <si>
    <t>helper: meeting min (best)</t>
  </si>
  <si>
    <t>helper: qualifying meetings (best)</t>
  </si>
  <si>
    <t>Top-up (best)</t>
  </si>
  <si>
    <t>Total</t>
  </si>
  <si>
    <t>Check vs Time Spent</t>
  </si>
  <si>
    <t>Each column is a formula over the same source tab as its Time Spent line item. The day-minimum top-up = Time Spent I7 minus that day's billed meeting minutes, only on days with a qualifying meeting (Meetings columns M and N). Columns K to P are helpers.</t>
  </si>
  <si>
    <t>Type</t>
  </si>
  <si>
    <t>Event</t>
  </si>
  <si>
    <t>Start</t>
  </si>
  <si>
    <t>End</t>
  </si>
  <si>
    <t>Minutes counted</t>
  </si>
  <si>
    <t>Hours (decimal)</t>
  </si>
  <si>
    <t>Time (h:mm)</t>
  </si>
  <si>
    <t>Day total (h)</t>
  </si>
  <si>
    <t>Source (click)</t>
  </si>
  <si>
    <t>Back to Calendar View</t>
  </si>
  <si>
    <t>Teams chat</t>
  </si>
  <si>
    <t>Riley Chen (1:1) (3 messages, 1 mine)</t>
  </si>
  <si>
    <t>Teams Messages row</t>
  </si>
  <si>
    <t>Meeting</t>
  </si>
  <si>
    <t>Weekly sync [Held (conversation that day)]</t>
  </si>
  <si>
    <t>Meetings row</t>
  </si>
  <si>
    <t>Meeting-day minimum</t>
  </si>
  <si>
    <t>Top-up to the day minimum for a day with an actual meeting (0 unless the meeting qualifies)</t>
  </si>
  <si>
    <t>Daily Time row</t>
  </si>
  <si>
    <t>Email written</t>
  </si>
  <si>
    <t>Pat Example: Quote request for 5 licences</t>
  </si>
  <si>
    <t>Communications row</t>
  </si>
  <si>
    <t>Unconfirmed item</t>
  </si>
  <si>
    <t>Gym block [Scheduled, no record]</t>
  </si>
  <si>
    <t>Riley Chen (1:1) (2 messages, 1 mine)</t>
  </si>
  <si>
    <t>Planning [Held (conversation that day)]</t>
  </si>
  <si>
    <t>Weekly sync [Not held (no conversation that day)]</t>
  </si>
  <si>
    <t>Planning [Cancelled]</t>
  </si>
  <si>
    <t>Weekly sync (2 messages, 1 mine)</t>
  </si>
  <si>
    <t>Weekly sync [Held (Teams record + conversation)]</t>
  </si>
  <si>
    <t>Check vs Daily Time</t>
  </si>
  <si>
    <t>Every row is a formula over its source tab and follows the Time Spent settings. Click a Source cell to jump to the underlying row; click a day on Calendar View to land here.</t>
  </si>
  <si>
    <t>Group</t>
  </si>
  <si>
    <t>Sched. start</t>
  </si>
  <si>
    <t>Sched. end</t>
  </si>
  <si>
    <t>Sched. min</t>
  </si>
  <si>
    <t>Status</t>
  </si>
  <si>
    <t>Teams actual (min)</t>
  </si>
  <si>
    <t>Evidence</t>
  </si>
  <si>
    <t>Counted min (logged)</t>
  </si>
  <si>
    <t>Best-case min (if held)</t>
  </si>
  <si>
    <t>Day minimum applies (logged)</t>
  </si>
  <si>
    <t>Day minimum applies (best case)</t>
  </si>
  <si>
    <t>Teams messages that day</t>
  </si>
  <si>
    <t>Weekly sync</t>
  </si>
  <si>
    <t>Northwind work</t>
  </si>
  <si>
    <t>Held (conversation that day)</t>
  </si>
  <si>
    <t>Outlook calendar (recurring)</t>
  </si>
  <si>
    <t>Gym block</t>
  </si>
  <si>
    <t>Unconfirmed (personal?)</t>
  </si>
  <si>
    <t>Scheduled, no record</t>
  </si>
  <si>
    <t>Planning</t>
  </si>
  <si>
    <t>Not held (no conversation that day)</t>
  </si>
  <si>
    <t>Outlook calendar (recurring); rule: no Teams conversation that day = no meeting</t>
  </si>
  <si>
    <t>Cancelled</t>
  </si>
  <si>
    <t>cancellation email</t>
  </si>
  <si>
    <t>Held (Teams record + conversation)</t>
  </si>
  <si>
    <t>Teams: ended after 40m</t>
  </si>
  <si>
    <t>Rule (teams_conversation_same_day): a scheduled meeting counts as held only if there was Teams conversation that day (Teams Messages tab); otherwise it is marked 'Not held (no conversation that day)', even when a Teams meeting card exists. Cancelled occurrences vanish from the calendar, so cancellations come from emails/chat. Times are America/New_York.</t>
  </si>
  <si>
    <t>Group 'Unconfirmed (personal?)' = recurring items that do not look like Northwind Trading Co. work. They are excluded from totals unless the toggle on Time Spent (I1) is Yes.</t>
  </si>
  <si>
    <t>Chat</t>
  </si>
  <si>
    <t>Messages</t>
  </si>
  <si>
    <t>My messages</t>
  </si>
  <si>
    <t>Elapsed (min)</t>
  </si>
  <si>
    <t>Billed (min)</t>
  </si>
  <si>
    <t>Messages (click)</t>
  </si>
  <si>
    <t>Gap that splits sessions (min), applied when the workbook was built</t>
  </si>
  <si>
    <t>Riley Chen (1:1)</t>
  </si>
  <si>
    <t>View messages</t>
  </si>
  <si>
    <t>Padding per session (min)</t>
  </si>
  <si>
    <t>Counted only for sessions in which I posted</t>
  </si>
  <si>
    <t>Billed = elapsed raised to the minimum per lapse (Time Spent I3), rounded up to the increment (Time Spent I4)</t>
  </si>
  <si>
    <t>Billed time = elapsed raised to the minimum billable lapse (Time Spent I3) and rounded up to the increment (I4). Elapsed is a proxy for effort: first to last message of a back-and-forth plus padding.</t>
  </si>
  <si>
    <t>Time</t>
  </si>
  <si>
    <t>Author</t>
  </si>
  <si>
    <t>Message</t>
  </si>
  <si>
    <t>Session (click)</t>
  </si>
  <si>
    <t>Riley</t>
  </si>
  <si>
    <t>Can you check ticket 4411 before the call?</t>
  </si>
  <si>
    <t>Session row 2</t>
  </si>
  <si>
    <t>Pat</t>
  </si>
  <si>
    <t>Looking now.</t>
  </si>
  <si>
    <t>The admin login is [REDACTED] please use it</t>
  </si>
  <si>
    <t>Planning at 1?</t>
  </si>
  <si>
    <t>Session row 3</t>
  </si>
  <si>
    <t>Yes.</t>
  </si>
  <si>
    <t>Other chat</t>
  </si>
  <si>
    <t>Sam</t>
  </si>
  <si>
    <t>nothing from me here</t>
  </si>
  <si>
    <t>joining now</t>
  </si>
  <si>
    <t>Session row 4</t>
  </si>
  <si>
    <t>same</t>
  </si>
  <si>
    <t>Every Teams message in the period for the included chats. Shaded rows are mine. Attachments and secrets are placeholders.</t>
  </si>
  <si>
    <t>#</t>
  </si>
  <si>
    <t>Task</t>
  </si>
  <si>
    <t>Source</t>
  </si>
  <si>
    <t>Requested by</t>
  </si>
  <si>
    <t>Raised</t>
  </si>
  <si>
    <t>Est. low (h)</t>
  </si>
  <si>
    <t>Est. high (h)</t>
  </si>
  <si>
    <t>Est. likely (h)</t>
  </si>
  <si>
    <t>Basis for estimate</t>
  </si>
  <si>
    <t>Fix tickets that re-open after closing</t>
  </si>
  <si>
    <t>Teams</t>
  </si>
  <si>
    <t>Open</t>
  </si>
  <si>
    <t>several instances</t>
  </si>
  <si>
    <t>Requested</t>
  </si>
  <si>
    <t>Reduce alert noise</t>
  </si>
  <si>
    <t>Email alerts</t>
  </si>
  <si>
    <t>-</t>
  </si>
  <si>
    <t>Suggested, not requested</t>
  </si>
  <si>
    <t>mail rules</t>
  </si>
  <si>
    <t>Suggested</t>
  </si>
  <si>
    <t>Total estimated effort (hours)</t>
  </si>
  <si>
    <t>Hour ranges are estimates from the scope described in the messages, not tracked time. Yellow cells are inputs. 'Suggested' rows were not requested by the client.</t>
  </si>
  <si>
    <t>Channel</t>
  </si>
  <si>
    <t>From / Chat</t>
  </si>
  <si>
    <t>Subject / Author / Type</t>
  </si>
  <si>
    <t>Summary / Text</t>
  </si>
  <si>
    <t>My involvement</t>
  </si>
  <si>
    <t>Email</t>
  </si>
  <si>
    <t>Staff</t>
  </si>
  <si>
    <t>Riley Chen</t>
  </si>
  <si>
    <t>Weekly sync notes and open questions</t>
  </si>
  <si>
    <t>Recipient</t>
  </si>
  <si>
    <t>Participant</t>
  </si>
  <si>
    <t>Related</t>
  </si>
  <si>
    <t>Pat Example</t>
  </si>
  <si>
    <t>Quote request for 5 licences</t>
  </si>
  <si>
    <t>Author (sent/draft)</t>
  </si>
  <si>
    <t>Alert / system</t>
  </si>
  <si>
    <t>noreply@northwind.example</t>
  </si>
  <si>
    <t>CPU alert</t>
  </si>
  <si>
    <t>CPU usage exceeds 90% threshold</t>
  </si>
  <si>
    <t>Recipient (automated)</t>
  </si>
  <si>
    <t>DB log alert</t>
  </si>
  <si>
    <t>Transaction log file size crossed threshold</t>
  </si>
  <si>
    <t>Email times are not recorded (list view only). Teams times are America/New_York. Secrets are redacted. Source: C:\Users\timot\Documents\projects\org-comms-export-skill\tests\out\./tree</t>
  </si>
  <si>
    <t>Alert type</t>
  </si>
  <si>
    <t>Jul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</si>
</sst>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5" formatCode="yyyy\-mm\-dd"/>
    <numFmt numFmtId="166" formatCode="hh:mm"/>
    <numFmt numFmtId="167" formatCode="0.0"/>
    <numFmt numFmtId="168" formatCode="mmmm\ yyyy"/>
    <numFmt numFmtId="169" formatCode="d"/>
    <numFmt numFmtId="170" formatCode="0&quot; m&quot;;\-0;;@"/>
    <numFmt numFmtId="171" formatCode="0&quot; m&quot;"/>
    <numFmt numFmtId="172" formatCode="0.0&quot; h&quot;"/>
  </numFmts>
  <fonts count="14" x14ac:knownFonts="1">
    <font>
      <sz val="11"/>
      <color theme="1"/>
      <name val="Calibri"/>
      <family val="2"/>
      <scheme val="minor"/>
    </font>
    <font>
      <b/>
      <sz val="10"/>
      <color rgb="FFFFFFFF"/>
      <name val="Arial"/>
    </font>
    <font>
      <sz val="10"/>
      <name val="Arial"/>
    </font>
    <font>
      <i/>
      <sz val="9"/>
      <name val="Arial"/>
    </font>
    <font>
      <sz val="10"/>
      <color rgb="FF0000FF"/>
      <name val="Arial"/>
    </font>
    <font>
      <b/>
      <sz val="10"/>
      <name val="Arial"/>
    </font>
    <font>
      <u/>
      <sz val="10"/>
      <color rgb="FF0563C1"/>
      <name val="Arial"/>
    </font>
    <font>
      <b/>
      <sz val="14"/>
      <name val="Arial"/>
    </font>
    <font>
      <b/>
      <sz val="12"/>
      <name val="Arial"/>
    </font>
    <font>
      <sz val="9"/>
      <color rgb="FF595959"/>
      <name val="Arial"/>
    </font>
    <font>
      <b/>
      <sz val="11"/>
      <name val="Arial"/>
    </font>
    <font>
      <u/>
      <sz val="9"/>
      <color rgb="FF595959"/>
      <name val="Arial"/>
    </font>
    <font>
      <b/>
      <sz val="9"/>
      <color rgb="FF1E3A8A"/>
      <name val="Arial"/>
    </font>
    <font>
      <i/>
      <sz val="10"/>
      <color rgb="FF64748B"/>
      <name val="Arial"/>
    </font>
  </fonts>
  <fills count="5">
    <fill>
      <patternFill patternType="none"/>
    </fill>
    <fill>
      <patternFill patternType="gray125"/>
    </fill>
    <fill>
      <patternFill patternType="solid">
        <fgColor rgb="FF1E3A8A"/>
      </patternFill>
    </fill>
    <fill>
      <patternFill patternType="solid">
        <fgColor rgb="FFFFFF00"/>
      </patternFill>
    </fill>
    <fill>
      <patternFill patternType="solid">
        <fgColor rgb="FFEEF2FF"/>
      </patternFill>
    </fill>
  </fills>
  <borders count="3">
    <border>
      <left/>
      <right/>
      <top/>
      <bottom/>
      <diagonal/>
    </border>
    <border>
      <left style="thin">
        <color rgb="FFD9D9D9"/>
      </left>
      <right style="thin">
        <color rgb="FFD9D9D9"/>
      </right>
      <top style="thin">
        <color rgb="FFD9D9D9"/>
      </top>
      <bottom/>
      <diagonal/>
    </border>
    <border>
      <left style="thin">
        <color rgb="FFD9D9D9"/>
      </left>
      <right style="thin">
        <color rgb="FFD9D9D9"/>
      </right>
      <top/>
      <bottom style="thin">
        <color rgb="FFD9D9D9"/>
      </bottom>
      <diagonal/>
    </border>
  </borders>
  <cellStyleXfs count="1">
    <xf numFmtId="0" fontId="0" fillId="0" borderId="0"/>
  </cellStyleXfs>
  <cellXfs count="41">
    <xf numFmtId="0" fontId="0" fillId="0" borderId="0" xfId="0"/>
    <xf numFmtId="0" fontId="12" fillId="0" borderId="0" xfId="0" applyFont="1"/>
    <xf numFmtId="0" fontId="7" fillId="0" borderId="0" xfId="0" applyFont="1"/>
    <xf numFmtId="0" fontId="13" fillId="0" borderId="0" xfId="0" applyFont="1"/>
    <xf numFmtId="0" fontId="1" fillId="2" borderId="0" xfId="0" applyFont="1" applyFill="1"/>
    <xf numFmtId="0" fontId="2" fillId="0" borderId="0" xfId="0" applyFont="1"/>
    <xf numFmtId="167" fontId="5" fillId="0" borderId="0" xfId="0" applyNumberFormat="1" applyFont="1"/>
    <xf numFmtId="0" fontId="5" fillId="0" borderId="0" xfId="0" applyFont="1"/>
    <xf numFmtId="0" fontId="1" fillId="2" borderId="0" xfId="0" applyFont="1" applyFill="1" applyAlignment="1">
      <alignment vertical="center" wrapText="1"/>
    </xf>
    <xf numFmtId="0" fontId="4" fillId="3" borderId="0" xfId="0" applyFont="1" applyFill="1"/>
    <xf numFmtId="1" fontId="2" fillId="0" borderId="0" xfId="0" applyNumberFormat="1" applyFont="1"/>
    <xf numFmtId="167" fontId="2" fillId="0" borderId="0" xfId="0" applyNumberFormat="1" applyFont="1"/>
    <xf numFmtId="0" fontId="3" fillId="0" borderId="0" xfId="0" applyFont="1"/>
    <xf numFmtId="1" fontId="5" fillId="0" borderId="0" xfId="0" applyNumberFormat="1" applyFont="1"/>
    <xf numFmtId="168" fontId="8" fillId="0" borderId="0" xfId="0" applyNumberFormat="1" applyFont="1"/>
    <xf numFmtId="0" fontId="1" fillId="2" borderId="0" xfId="0" applyFont="1" applyFill="1" applyAlignment="1">
      <alignment horizontal="center"/>
    </xf>
    <xf numFmtId="0" fontId="9" fillId="0" borderId="1" xfId="0" applyFont="1" applyBorder="1" applyAlignment="1">
      <alignment horizontal="left"/>
    </xf>
    <xf numFmtId="169" fontId="11" fillId="0" borderId="1" xfId="0" applyNumberFormat="1" applyFont="1" applyBorder="1" applyAlignment="1">
      <alignment horizontal="left"/>
    </xf>
    <xf numFmtId="0" fontId="10" fillId="0" borderId="2" xfId="0" applyFont="1" applyBorder="1" applyAlignment="1">
      <alignment horizontal="center"/>
    </xf>
    <xf numFmtId="170" fontId="10" fillId="0" borderId="2" xfId="0" applyNumberFormat="1" applyFont="1" applyBorder="1" applyAlignment="1">
      <alignment horizontal="center"/>
    </xf>
    <xf numFmtId="170" fontId="5" fillId="0" borderId="0" xfId="0" applyNumberFormat="1" applyFont="1" applyAlignment="1">
      <alignment horizontal="center"/>
    </xf>
    <xf numFmtId="171" fontId="5" fillId="0" borderId="0" xfId="0" applyNumberFormat="1" applyFont="1"/>
    <xf numFmtId="172" fontId="5" fillId="0" borderId="0" xfId="0" applyNumberFormat="1" applyFont="1"/>
    <xf numFmtId="165" fontId="6" fillId="0" borderId="0" xfId="0" applyNumberFormat="1" applyFont="1"/>
    <xf numFmtId="165" fontId="2" fillId="0" borderId="0" xfId="0" applyNumberFormat="1" applyFont="1"/>
    <xf numFmtId="0" fontId="6" fillId="0" borderId="0" xfId="0" applyFont="1"/>
    <xf numFmtId="165" fontId="2" fillId="0" borderId="0" xfId="0" applyNumberFormat="1" applyFont="1" applyAlignment="1">
      <alignment vertical="top" wrapText="1"/>
    </xf>
    <xf numFmtId="0" fontId="2" fillId="0" borderId="0" xfId="0" applyFont="1" applyAlignment="1">
      <alignment vertical="top" wrapText="1"/>
    </xf>
    <xf numFmtId="166" fontId="2" fillId="0" borderId="0" xfId="0" applyNumberFormat="1" applyFont="1" applyAlignment="1">
      <alignment vertical="top" wrapText="1"/>
    </xf>
    <xf numFmtId="1" fontId="2" fillId="0" borderId="0" xfId="0" applyNumberFormat="1" applyFont="1" applyAlignment="1">
      <alignment vertical="top" wrapText="1"/>
    </xf>
    <xf numFmtId="2" fontId="2" fillId="0" borderId="0" xfId="0" applyNumberFormat="1" applyFont="1"/>
    <xf numFmtId="0" fontId="2" fillId="0" borderId="0" xfId="0" applyFont="1" applyAlignment="1">
      <alignment horizontal="right"/>
    </xf>
    <xf numFmtId="2" fontId="5" fillId="0" borderId="0" xfId="0" applyNumberFormat="1" applyFont="1"/>
    <xf numFmtId="0" fontId="5" fillId="0" borderId="0" xfId="0" applyFont="1" applyAlignment="1">
      <alignment horizontal="right"/>
    </xf>
    <xf numFmtId="1" fontId="4" fillId="3" borderId="0" xfId="0" applyNumberFormat="1" applyFont="1" applyFill="1" applyAlignment="1">
      <alignment vertical="top" wrapText="1"/>
    </xf>
    <xf numFmtId="166" fontId="2" fillId="0" borderId="0" xfId="0" applyNumberFormat="1" applyFont="1"/>
    <xf numFmtId="165" fontId="2" fillId="4" borderId="0" xfId="0" applyNumberFormat="1" applyFont="1" applyFill="1" applyAlignment="1">
      <alignment vertical="top" wrapText="1"/>
    </xf>
    <xf numFmtId="166" fontId="2" fillId="4" borderId="0" xfId="0" applyNumberFormat="1" applyFont="1" applyFill="1" applyAlignment="1">
      <alignment vertical="top" wrapText="1"/>
    </xf>
    <xf numFmtId="0" fontId="2" fillId="4" borderId="0" xfId="0" applyFont="1" applyFill="1" applyAlignment="1">
      <alignment vertical="top" wrapText="1"/>
    </xf>
    <xf numFmtId="167" fontId="4" fillId="3" borderId="0" xfId="0" applyNumberFormat="1" applyFont="1" applyFill="1" applyAlignment="1">
      <alignment vertical="top" wrapText="1"/>
    </xf>
    <xf numFmtId="167" fontId="2" fillId="0" borderId="0" xfId="0" applyNumberFormat="1"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3</xdr:col>
      <xdr:colOff>0</xdr:colOff>
      <xdr:row>0</xdr:row>
      <xdr:rowOff>0</xdr:rowOff>
    </xdr:from>
    <xdr:ext cx="1428750" cy="704850"/>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3A8A"/>
  </sheetPr>
  <dimension ref="A1:C24"/>
  <sheetViews>
    <sheetView tabSelected="1" workbookViewId="0"/>
  </sheetViews>
  <sheetFormatPr defaultRowHeight="15" x14ac:dyDescent="0.25"/>
  <cols>
    <col min="1" max="1" width="52" customWidth="1"/>
    <col min="2" max="2" width="14" customWidth="1"/>
    <col min="3" max="3" width="70" customWidth="1"/>
  </cols>
  <sheetData>
    <row r="1" spans="1:3" x14ac:dyDescent="0.25">
      <c r="A1" s="1" t="s">
        <v>0</v>
      </c>
    </row>
    <row r="2" spans="1:3" ht="18" x14ac:dyDescent="0.25">
      <c r="A2" s="2" t="s">
        <v>1</v>
      </c>
    </row>
    <row r="3" spans="1:3" x14ac:dyDescent="0.25">
      <c r="A3" s="3" t="s">
        <v>2</v>
      </c>
    </row>
    <row r="5" spans="1:3" x14ac:dyDescent="0.25">
      <c r="A5" s="4" t="s">
        <v>3</v>
      </c>
      <c r="B5" s="4" t="s">
        <v>4</v>
      </c>
      <c r="C5" s="4" t="s">
        <v>5</v>
      </c>
    </row>
    <row r="6" spans="1:3" x14ac:dyDescent="0.25">
      <c r="A6" s="5" t="s">
        <v>6</v>
      </c>
      <c r="B6" s="6">
        <f>'Time Spent'!E7</f>
        <v>13.25</v>
      </c>
      <c r="C6" s="5" t="s">
        <v>7</v>
      </c>
    </row>
    <row r="7" spans="1:3" x14ac:dyDescent="0.25">
      <c r="A7" s="5" t="s">
        <v>8</v>
      </c>
      <c r="B7" s="6">
        <f>'Time Spent'!E9</f>
        <v>17.25</v>
      </c>
      <c r="C7" s="5" t="s">
        <v>9</v>
      </c>
    </row>
    <row r="8" spans="1:3" x14ac:dyDescent="0.25">
      <c r="A8" s="5" t="s">
        <v>10</v>
      </c>
      <c r="B8" s="7">
        <f>'Time Spent'!B5</f>
        <v>3</v>
      </c>
      <c r="C8" s="5" t="s">
        <v>11</v>
      </c>
    </row>
    <row r="9" spans="1:3" x14ac:dyDescent="0.25">
      <c r="A9" s="5" t="s">
        <v>12</v>
      </c>
      <c r="B9" s="7">
        <f>'Time Spent'!B2</f>
        <v>3</v>
      </c>
      <c r="C9" s="5" t="s">
        <v>13</v>
      </c>
    </row>
    <row r="10" spans="1:3" x14ac:dyDescent="0.25">
      <c r="A10" s="5" t="s">
        <v>14</v>
      </c>
      <c r="B10" s="7">
        <f>'Time Spent'!B3</f>
        <v>1</v>
      </c>
      <c r="C10" s="5" t="s">
        <v>15</v>
      </c>
    </row>
    <row r="11" spans="1:3" x14ac:dyDescent="0.25">
      <c r="A11" s="5" t="s">
        <v>16</v>
      </c>
      <c r="B11" s="6">
        <f>Tasks!I4</f>
        <v>4.5</v>
      </c>
      <c r="C11" s="5" t="s">
        <v>17</v>
      </c>
    </row>
    <row r="12" spans="1:3" x14ac:dyDescent="0.25">
      <c r="A12" s="5" t="s">
        <v>18</v>
      </c>
      <c r="B12" s="7">
        <f>COUNTA(Tasks!B2:B3)</f>
        <v>2</v>
      </c>
      <c r="C12" s="5" t="s">
        <v>19</v>
      </c>
    </row>
    <row r="13" spans="1:3" x14ac:dyDescent="0.25">
      <c r="A13" s="5" t="s">
        <v>20</v>
      </c>
      <c r="B13" s="7">
        <f>COUNTIFS(Tasks!F2:F3,"Open*")+COUNTIFS(Tasks!F2:F3,"Unknown*")</f>
        <v>1</v>
      </c>
      <c r="C13" s="5"/>
    </row>
    <row r="14" spans="1:3" x14ac:dyDescent="0.25">
      <c r="A14" s="5" t="s">
        <v>21</v>
      </c>
      <c r="B14" s="7">
        <f>COUNTIFS(Communications!C2:C13,"Email",Communications!D2:D13,"Staff")</f>
        <v>1</v>
      </c>
      <c r="C14" s="5" t="s">
        <v>15</v>
      </c>
    </row>
    <row r="15" spans="1:3" x14ac:dyDescent="0.25">
      <c r="A15" s="5" t="s">
        <v>22</v>
      </c>
      <c r="B15" s="7">
        <f>COUNTIFS(Communications!C2:C13,"Email",Communications!D2:D13,"Related")</f>
        <v>1</v>
      </c>
      <c r="C15" s="5" t="s">
        <v>15</v>
      </c>
    </row>
    <row r="16" spans="1:3" x14ac:dyDescent="0.25">
      <c r="A16" s="5" t="s">
        <v>23</v>
      </c>
      <c r="B16" s="7">
        <f>COUNTIFS(Communications!C2:C13,"Email",Communications!D2:D13,"Alert / system")</f>
        <v>2</v>
      </c>
      <c r="C16" s="5" t="s">
        <v>24</v>
      </c>
    </row>
    <row r="17" spans="1:3" x14ac:dyDescent="0.25">
      <c r="A17" s="5" t="s">
        <v>25</v>
      </c>
      <c r="B17" s="7">
        <f>COUNTIFS(Communications!C2:C13,"Teams")</f>
        <v>8</v>
      </c>
      <c r="C17" s="5" t="s">
        <v>26</v>
      </c>
    </row>
    <row r="18" spans="1:3" x14ac:dyDescent="0.25">
      <c r="A18" s="5" t="s">
        <v>27</v>
      </c>
      <c r="B18" s="7">
        <f>COUNTIFS(Communications!C2:C13,"Teams",Communications!H2:H13,"Author")</f>
        <v>3</v>
      </c>
      <c r="C18" s="5"/>
    </row>
    <row r="20" spans="1:3" x14ac:dyDescent="0.25">
      <c r="A20" s="7" t="s">
        <v>28</v>
      </c>
    </row>
    <row r="21" spans="1:3" x14ac:dyDescent="0.25">
      <c r="A21" s="5" t="s">
        <v>29</v>
      </c>
    </row>
    <row r="22" spans="1:3" x14ac:dyDescent="0.25">
      <c r="A22" s="5" t="s">
        <v>30</v>
      </c>
    </row>
    <row r="23" spans="1:3" x14ac:dyDescent="0.25">
      <c r="A23" s="5" t="s">
        <v>31</v>
      </c>
    </row>
    <row r="24" spans="1:3" x14ac:dyDescent="0.25">
      <c r="A24" s="5" t="s">
        <v>32</v>
      </c>
    </row>
  </sheetData>
  <pageMargins left="0.75" right="0.75" top="1" bottom="1" header="0.5" footer="0.5"/>
  <headerFooter>
    <oddFooter>&amp;LCompleteTech LLC · Innovation at Every Integration · complete.tech&amp;RPage &amp;P of &amp;N</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E3A8A"/>
  </sheetPr>
  <dimension ref="A1:I11"/>
  <sheetViews>
    <sheetView workbookViewId="0">
      <pane ySplit="1" topLeftCell="A2" activePane="bottomLeft" state="frozen"/>
      <selection pane="bottomLeft"/>
    </sheetView>
  </sheetViews>
  <sheetFormatPr defaultRowHeight="15" x14ac:dyDescent="0.25"/>
  <cols>
    <col min="1" max="1" width="58" customWidth="1"/>
    <col min="2" max="2" width="9" customWidth="1"/>
    <col min="3" max="3" width="14" customWidth="1"/>
    <col min="4" max="4" width="13" customWidth="1"/>
    <col min="5" max="5" width="10" customWidth="1"/>
    <col min="6" max="6" width="100" customWidth="1"/>
    <col min="8" max="8" width="50" customWidth="1"/>
  </cols>
  <sheetData>
    <row r="1" spans="1:9" x14ac:dyDescent="0.25">
      <c r="A1" s="8" t="s">
        <v>33</v>
      </c>
      <c r="B1" s="8" t="s">
        <v>34</v>
      </c>
      <c r="C1" s="8" t="s">
        <v>35</v>
      </c>
      <c r="D1" s="8" t="s">
        <v>36</v>
      </c>
      <c r="E1" s="8" t="s">
        <v>37</v>
      </c>
      <c r="F1" s="8" t="s">
        <v>38</v>
      </c>
      <c r="H1" s="5" t="s">
        <v>39</v>
      </c>
      <c r="I1" s="9" t="s">
        <v>40</v>
      </c>
    </row>
    <row r="2" spans="1:9" x14ac:dyDescent="0.25">
      <c r="A2" s="5" t="s">
        <v>41</v>
      </c>
      <c r="B2" s="5">
        <f>COUNTA('Teams Sessions'!A2:A4)</f>
        <v>3</v>
      </c>
      <c r="D2" s="10">
        <f>'Teams Sessions'!H6</f>
        <v>60</v>
      </c>
      <c r="E2" s="11">
        <f t="shared" ref="E2:E9" si="0">D2/60</f>
        <v>1</v>
      </c>
      <c r="F2" s="5" t="s">
        <v>42</v>
      </c>
      <c r="H2" s="5" t="s">
        <v>43</v>
      </c>
      <c r="I2" s="9" t="s">
        <v>44</v>
      </c>
    </row>
    <row r="3" spans="1:9" x14ac:dyDescent="0.25">
      <c r="A3" s="5" t="s">
        <v>45</v>
      </c>
      <c r="B3" s="5">
        <f>COUNTIFS(Communications!C2:C13,"Email",Communications!H2:H13,"Author*")</f>
        <v>1</v>
      </c>
      <c r="C3" s="9">
        <v>5</v>
      </c>
      <c r="D3" s="10">
        <f>B3*$I$5</f>
        <v>15</v>
      </c>
      <c r="E3" s="11">
        <f t="shared" si="0"/>
        <v>0.25</v>
      </c>
      <c r="F3" s="5" t="s">
        <v>46</v>
      </c>
      <c r="H3" s="5" t="s">
        <v>47</v>
      </c>
      <c r="I3" s="9">
        <v>15</v>
      </c>
    </row>
    <row r="4" spans="1:9" x14ac:dyDescent="0.25">
      <c r="A4" s="5" t="s">
        <v>48</v>
      </c>
      <c r="B4" s="5">
        <f>COUNTIFS(Meetings!K2:K8,"&gt;0")</f>
        <v>1</v>
      </c>
      <c r="D4" s="10">
        <f>SUM(Meetings!K2:K8)</f>
        <v>45</v>
      </c>
      <c r="E4" s="11">
        <f t="shared" si="0"/>
        <v>0.75</v>
      </c>
      <c r="F4" s="5" t="s">
        <v>49</v>
      </c>
      <c r="H4" s="5" t="s">
        <v>50</v>
      </c>
      <c r="I4" s="9">
        <v>15</v>
      </c>
    </row>
    <row r="5" spans="1:9" x14ac:dyDescent="0.25">
      <c r="A5" s="5" t="s">
        <v>51</v>
      </c>
      <c r="B5" s="5">
        <f>COUNTIFS('Daily Time'!M2:M32,"&gt;0")</f>
        <v>3</v>
      </c>
      <c r="D5" s="10">
        <f>SUM('Daily Time'!M2:M32)</f>
        <v>675</v>
      </c>
      <c r="E5" s="11">
        <f t="shared" si="0"/>
        <v>11.25</v>
      </c>
      <c r="F5" s="5" t="s">
        <v>52</v>
      </c>
      <c r="H5" s="5" t="s">
        <v>53</v>
      </c>
      <c r="I5" s="5">
        <f>CEILING(MAX(C3,I3),I4)</f>
        <v>15</v>
      </c>
    </row>
    <row r="6" spans="1:9" x14ac:dyDescent="0.25">
      <c r="A6" s="5" t="s">
        <v>54</v>
      </c>
      <c r="B6" s="5">
        <f>COUNTIFS(Meetings!D2:D8,"Unconfirmed*",Meetings!A2:A8,"&lt;="&amp;DATE(2026,7,31))</f>
        <v>2</v>
      </c>
      <c r="D6" s="10">
        <f>IF($I$1="Yes",SUMIFS(Meetings!G2:G8,Meetings!D2:D8,"Unconfirmed*",Meetings!A2:A8,"&lt;="&amp;DATE(2026,7,31)),0)</f>
        <v>0</v>
      </c>
      <c r="E6" s="11">
        <f t="shared" si="0"/>
        <v>0</v>
      </c>
      <c r="F6" s="5" t="s">
        <v>55</v>
      </c>
      <c r="H6" s="12" t="s">
        <v>56</v>
      </c>
    </row>
    <row r="7" spans="1:9" x14ac:dyDescent="0.25">
      <c r="A7" s="7" t="s">
        <v>57</v>
      </c>
      <c r="D7" s="13">
        <f>SUM(D2:D6)</f>
        <v>795</v>
      </c>
      <c r="E7" s="6">
        <f t="shared" si="0"/>
        <v>13.25</v>
      </c>
      <c r="H7" s="5" t="s">
        <v>58</v>
      </c>
      <c r="I7" s="9">
        <v>240</v>
      </c>
    </row>
    <row r="8" spans="1:9" x14ac:dyDescent="0.25">
      <c r="A8" s="5" t="s">
        <v>59</v>
      </c>
      <c r="B8" s="5">
        <f>COUNTIFS(Meetings!L2:L8,"&gt;0")</f>
        <v>4</v>
      </c>
      <c r="D8" s="10">
        <f>SUM(Meetings!L2:L8)+SUM('Daily Time'!P2:P32)</f>
        <v>960</v>
      </c>
      <c r="E8" s="11">
        <f t="shared" si="0"/>
        <v>16</v>
      </c>
      <c r="F8" s="5" t="s">
        <v>9</v>
      </c>
    </row>
    <row r="9" spans="1:9" x14ac:dyDescent="0.25">
      <c r="A9" s="7" t="s">
        <v>60</v>
      </c>
      <c r="D9" s="13">
        <f>D2+D3+D8+D6</f>
        <v>1035</v>
      </c>
      <c r="E9" s="6">
        <f t="shared" si="0"/>
        <v>17.25</v>
      </c>
    </row>
    <row r="11" spans="1:9" x14ac:dyDescent="0.25">
      <c r="A11" s="12" t="s">
        <v>61</v>
      </c>
    </row>
  </sheetData>
  <pageMargins left="0.75" right="0.75" top="1" bottom="1" header="0.5" footer="0.5"/>
  <headerFooter>
    <oddFooter>&amp;LCompleteTech LLC · Innovation at Every Integration · complete.tech&amp;RPage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E3A8A"/>
  </sheetPr>
  <dimension ref="B1:I20"/>
  <sheetViews>
    <sheetView showGridLines="0" workbookViewId="0"/>
  </sheetViews>
  <sheetFormatPr defaultRowHeight="15" x14ac:dyDescent="0.25"/>
  <cols>
    <col min="1" max="1" width="3" customWidth="1"/>
    <col min="2" max="8" width="12" customWidth="1"/>
    <col min="9" max="9" width="13" customWidth="1"/>
  </cols>
  <sheetData>
    <row r="1" spans="2:9" ht="18" x14ac:dyDescent="0.25">
      <c r="B1" s="2" t="s">
        <v>62</v>
      </c>
    </row>
    <row r="2" spans="2:9" x14ac:dyDescent="0.25">
      <c r="B2" s="12" t="s">
        <v>63</v>
      </c>
    </row>
    <row r="3" spans="2:9" x14ac:dyDescent="0.25">
      <c r="B3" s="7" t="str">
        <f>"Meeting basis: "&amp;'Time Spent'!I2&amp;"   |   Unconfirmed items: "&amp;'Time Spent'!I1&amp;"   |   Grand total: "&amp;TEXT('Daily Time'!H33/60,"0.0")&amp;" h"</f>
        <v>Meeting basis: Logged   |   Unconfirmed items: No   |   Grand total: 13.3 h</v>
      </c>
    </row>
    <row r="5" spans="2:9" ht="15.75" x14ac:dyDescent="0.25">
      <c r="B5" s="14">
        <v>46204</v>
      </c>
    </row>
    <row r="6" spans="2:9" x14ac:dyDescent="0.25">
      <c r="B6" s="15" t="s">
        <v>64</v>
      </c>
      <c r="C6" s="15" t="s">
        <v>65</v>
      </c>
      <c r="D6" s="15" t="s">
        <v>66</v>
      </c>
      <c r="E6" s="15" t="s">
        <v>67</v>
      </c>
      <c r="F6" s="15" t="s">
        <v>68</v>
      </c>
      <c r="G6" s="15" t="s">
        <v>69</v>
      </c>
      <c r="H6" s="15" t="s">
        <v>70</v>
      </c>
      <c r="I6" s="15" t="s">
        <v>71</v>
      </c>
    </row>
    <row r="7" spans="2:9" x14ac:dyDescent="0.25">
      <c r="B7" s="16"/>
      <c r="C7" s="16"/>
      <c r="D7" s="16"/>
      <c r="E7" s="17">
        <v>46204</v>
      </c>
      <c r="F7" s="17">
        <v>46205</v>
      </c>
      <c r="G7" s="17">
        <v>46206</v>
      </c>
      <c r="H7" s="17">
        <v>46207</v>
      </c>
    </row>
    <row r="8" spans="2:9" ht="24" customHeight="1" x14ac:dyDescent="0.25">
      <c r="B8" s="18"/>
      <c r="C8" s="18"/>
      <c r="D8" s="18"/>
      <c r="E8" s="19">
        <f>IFERROR(INDEX('Daily Time'!$H$2:$H$32,MATCH(E7,'Daily Time'!$A$2:$A$32,0)),0)</f>
        <v>270</v>
      </c>
      <c r="F8" s="19">
        <f>IFERROR(INDEX('Daily Time'!$H$2:$H$32,MATCH(F7,'Daily Time'!$A$2:$A$32,0)),0)</f>
        <v>15</v>
      </c>
      <c r="G8" s="19">
        <f>IFERROR(INDEX('Daily Time'!$H$2:$H$32,MATCH(G7,'Daily Time'!$A$2:$A$32,0)),0)</f>
        <v>0</v>
      </c>
      <c r="H8" s="19">
        <f>IFERROR(INDEX('Daily Time'!$H$2:$H$32,MATCH(H7,'Daily Time'!$A$2:$A$32,0)),0)</f>
        <v>0</v>
      </c>
      <c r="I8" s="20">
        <f>SUM(B8:H8)</f>
        <v>285</v>
      </c>
    </row>
    <row r="9" spans="2:9" x14ac:dyDescent="0.25">
      <c r="B9" s="17">
        <v>46208</v>
      </c>
      <c r="C9" s="17">
        <v>46209</v>
      </c>
      <c r="D9" s="17">
        <v>46210</v>
      </c>
      <c r="E9" s="17">
        <v>46211</v>
      </c>
      <c r="F9" s="17">
        <v>46212</v>
      </c>
      <c r="G9" s="17">
        <v>46213</v>
      </c>
      <c r="H9" s="17">
        <v>46214</v>
      </c>
    </row>
    <row r="10" spans="2:9" ht="24" customHeight="1" x14ac:dyDescent="0.25">
      <c r="B10" s="19">
        <f>IFERROR(INDEX('Daily Time'!$H$2:$H$32,MATCH(B9,'Daily Time'!$A$2:$A$32,0)),0)</f>
        <v>0</v>
      </c>
      <c r="C10" s="19">
        <f>IFERROR(INDEX('Daily Time'!$H$2:$H$32,MATCH(C9,'Daily Time'!$A$2:$A$32,0)),0)</f>
        <v>255</v>
      </c>
      <c r="D10" s="19">
        <f>IFERROR(INDEX('Daily Time'!$H$2:$H$32,MATCH(D9,'Daily Time'!$A$2:$A$32,0)),0)</f>
        <v>0</v>
      </c>
      <c r="E10" s="19">
        <f>IFERROR(INDEX('Daily Time'!$H$2:$H$32,MATCH(E9,'Daily Time'!$A$2:$A$32,0)),0)</f>
        <v>0</v>
      </c>
      <c r="F10" s="19">
        <f>IFERROR(INDEX('Daily Time'!$H$2:$H$32,MATCH(F9,'Daily Time'!$A$2:$A$32,0)),0)</f>
        <v>0</v>
      </c>
      <c r="G10" s="19">
        <f>IFERROR(INDEX('Daily Time'!$H$2:$H$32,MATCH(G9,'Daily Time'!$A$2:$A$32,0)),0)</f>
        <v>0</v>
      </c>
      <c r="H10" s="19">
        <f>IFERROR(INDEX('Daily Time'!$H$2:$H$32,MATCH(H9,'Daily Time'!$A$2:$A$32,0)),0)</f>
        <v>0</v>
      </c>
      <c r="I10" s="20">
        <f>SUM(B10:H10)</f>
        <v>255</v>
      </c>
    </row>
    <row r="11" spans="2:9" x14ac:dyDescent="0.25">
      <c r="B11" s="17">
        <v>46215</v>
      </c>
      <c r="C11" s="17">
        <v>46216</v>
      </c>
      <c r="D11" s="17">
        <v>46217</v>
      </c>
      <c r="E11" s="17">
        <v>46218</v>
      </c>
      <c r="F11" s="17">
        <v>46219</v>
      </c>
      <c r="G11" s="17">
        <v>46220</v>
      </c>
      <c r="H11" s="17">
        <v>46221</v>
      </c>
    </row>
    <row r="12" spans="2:9" ht="24" customHeight="1" x14ac:dyDescent="0.25">
      <c r="B12" s="19">
        <f>IFERROR(INDEX('Daily Time'!$H$2:$H$32,MATCH(B11,'Daily Time'!$A$2:$A$32,0)),0)</f>
        <v>0</v>
      </c>
      <c r="C12" s="19">
        <f>IFERROR(INDEX('Daily Time'!$H$2:$H$32,MATCH(C11,'Daily Time'!$A$2:$A$32,0)),0)</f>
        <v>0</v>
      </c>
      <c r="D12" s="19">
        <f>IFERROR(INDEX('Daily Time'!$H$2:$H$32,MATCH(D11,'Daily Time'!$A$2:$A$32,0)),0)</f>
        <v>0</v>
      </c>
      <c r="E12" s="19">
        <f>IFERROR(INDEX('Daily Time'!$H$2:$H$32,MATCH(E11,'Daily Time'!$A$2:$A$32,0)),0)</f>
        <v>255</v>
      </c>
      <c r="F12" s="19">
        <f>IFERROR(INDEX('Daily Time'!$H$2:$H$32,MATCH(F11,'Daily Time'!$A$2:$A$32,0)),0)</f>
        <v>0</v>
      </c>
      <c r="G12" s="19">
        <f>IFERROR(INDEX('Daily Time'!$H$2:$H$32,MATCH(G11,'Daily Time'!$A$2:$A$32,0)),0)</f>
        <v>0</v>
      </c>
      <c r="H12" s="19">
        <f>IFERROR(INDEX('Daily Time'!$H$2:$H$32,MATCH(H11,'Daily Time'!$A$2:$A$32,0)),0)</f>
        <v>0</v>
      </c>
      <c r="I12" s="20">
        <f>SUM(B12:H12)</f>
        <v>255</v>
      </c>
    </row>
    <row r="13" spans="2:9" x14ac:dyDescent="0.25">
      <c r="B13" s="17">
        <v>46222</v>
      </c>
      <c r="C13" s="17">
        <v>46223</v>
      </c>
      <c r="D13" s="17">
        <v>46224</v>
      </c>
      <c r="E13" s="17">
        <v>46225</v>
      </c>
      <c r="F13" s="17">
        <v>46226</v>
      </c>
      <c r="G13" s="17">
        <v>46227</v>
      </c>
      <c r="H13" s="17">
        <v>46228</v>
      </c>
    </row>
    <row r="14" spans="2:9" ht="24" customHeight="1" x14ac:dyDescent="0.25">
      <c r="B14" s="19">
        <f>IFERROR(INDEX('Daily Time'!$H$2:$H$32,MATCH(B13,'Daily Time'!$A$2:$A$32,0)),0)</f>
        <v>0</v>
      </c>
      <c r="C14" s="19">
        <f>IFERROR(INDEX('Daily Time'!$H$2:$H$32,MATCH(C13,'Daily Time'!$A$2:$A$32,0)),0)</f>
        <v>0</v>
      </c>
      <c r="D14" s="19">
        <f>IFERROR(INDEX('Daily Time'!$H$2:$H$32,MATCH(D13,'Daily Time'!$A$2:$A$32,0)),0)</f>
        <v>0</v>
      </c>
      <c r="E14" s="19">
        <f>IFERROR(INDEX('Daily Time'!$H$2:$H$32,MATCH(E13,'Daily Time'!$A$2:$A$32,0)),0)</f>
        <v>0</v>
      </c>
      <c r="F14" s="19">
        <f>IFERROR(INDEX('Daily Time'!$H$2:$H$32,MATCH(F13,'Daily Time'!$A$2:$A$32,0)),0)</f>
        <v>0</v>
      </c>
      <c r="G14" s="19">
        <f>IFERROR(INDEX('Daily Time'!$H$2:$H$32,MATCH(G13,'Daily Time'!$A$2:$A$32,0)),0)</f>
        <v>0</v>
      </c>
      <c r="H14" s="19">
        <f>IFERROR(INDEX('Daily Time'!$H$2:$H$32,MATCH(H13,'Daily Time'!$A$2:$A$32,0)),0)</f>
        <v>0</v>
      </c>
      <c r="I14" s="20">
        <f>SUM(B14:H14)</f>
        <v>0</v>
      </c>
    </row>
    <row r="15" spans="2:9" x14ac:dyDescent="0.25">
      <c r="B15" s="17">
        <v>46229</v>
      </c>
      <c r="C15" s="17">
        <v>46230</v>
      </c>
      <c r="D15" s="17">
        <v>46231</v>
      </c>
      <c r="E15" s="17">
        <v>46232</v>
      </c>
      <c r="F15" s="17">
        <v>46233</v>
      </c>
      <c r="G15" s="17">
        <v>46234</v>
      </c>
      <c r="H15" s="16"/>
    </row>
    <row r="16" spans="2:9" ht="24" customHeight="1" x14ac:dyDescent="0.25">
      <c r="B16" s="19">
        <f>IFERROR(INDEX('Daily Time'!$H$2:$H$32,MATCH(B15,'Daily Time'!$A$2:$A$32,0)),0)</f>
        <v>0</v>
      </c>
      <c r="C16" s="19">
        <f>IFERROR(INDEX('Daily Time'!$H$2:$H$32,MATCH(C15,'Daily Time'!$A$2:$A$32,0)),0)</f>
        <v>0</v>
      </c>
      <c r="D16" s="19">
        <f>IFERROR(INDEX('Daily Time'!$H$2:$H$32,MATCH(D15,'Daily Time'!$A$2:$A$32,0)),0)</f>
        <v>0</v>
      </c>
      <c r="E16" s="19">
        <f>IFERROR(INDEX('Daily Time'!$H$2:$H$32,MATCH(E15,'Daily Time'!$A$2:$A$32,0)),0)</f>
        <v>0</v>
      </c>
      <c r="F16" s="19">
        <f>IFERROR(INDEX('Daily Time'!$H$2:$H$32,MATCH(F15,'Daily Time'!$A$2:$A$32,0)),0)</f>
        <v>0</v>
      </c>
      <c r="G16" s="19">
        <f>IFERROR(INDEX('Daily Time'!$H$2:$H$32,MATCH(G15,'Daily Time'!$A$2:$A$32,0)),0)</f>
        <v>0</v>
      </c>
      <c r="H16" s="18"/>
      <c r="I16" s="20">
        <f>SUM(B16:H16)</f>
        <v>0</v>
      </c>
    </row>
    <row r="17" spans="2:9" x14ac:dyDescent="0.25">
      <c r="H17" s="7" t="s">
        <v>72</v>
      </c>
      <c r="I17" s="21">
        <f>SUM(E8,F8,G8,H8,B10,C10,D10,E10,F10,G10,H10,B12,C12,D12,E12,F12,G12,H12,B14,C14,D14,E14,F14,G14,H14,B16,C16,D16,E16,F16,G16)</f>
        <v>795</v>
      </c>
    </row>
    <row r="18" spans="2:9" x14ac:dyDescent="0.25">
      <c r="H18" s="5" t="s">
        <v>73</v>
      </c>
      <c r="I18" s="22">
        <f>I17/60</f>
        <v>13.25</v>
      </c>
    </row>
    <row r="20" spans="2:9" x14ac:dyDescent="0.25">
      <c r="B20" s="12" t="s">
        <v>74</v>
      </c>
    </row>
  </sheetData>
  <conditionalFormatting sqref="B8:H8 B10:H10 B12:H12 B14:H14 B16:H16">
    <cfRule type="colorScale" priority="1">
      <colorScale>
        <cfvo type="num" val="0"/>
        <cfvo type="num" val="60"/>
        <cfvo type="num" val="240"/>
        <color rgb="FFFFFFFF"/>
        <color rgb="FFBCC4DC"/>
        <color rgb="FF6275AD"/>
      </colorScale>
    </cfRule>
  </conditionalFormatting>
  <hyperlinks>
    <hyperlink ref="E7" location="'Day Detail'!A2" display="2026-07-01 00:00:00" xr:uid="{00000000-0004-0000-0200-000000000000}"/>
    <hyperlink ref="F7" location="'Day Detail'!A5" display="2026-07-02 00:00:00" xr:uid="{00000000-0004-0000-0200-000001000000}"/>
    <hyperlink ref="G7" location="'Daily Time'!A4" display="2026-07-03 00:00:00" xr:uid="{00000000-0004-0000-0200-000002000000}"/>
    <hyperlink ref="H7" location="'Daily Time'!A5" display="2026-07-04 00:00:00" xr:uid="{00000000-0004-0000-0200-000003000000}"/>
    <hyperlink ref="E8" location="'Day Detail'!A2" display="=IFERROR(INDEX('Daily Time'!$H$2:$H$32,MATCH(E7,'Daily Time'!$A$2:$A$32,0)),0)" xr:uid="{00000000-0004-0000-0200-000004000000}"/>
    <hyperlink ref="F8" location="'Day Detail'!A5" display="=IFERROR(INDEX('Daily Time'!$H$2:$H$32,MATCH(F7,'Daily Time'!$A$2:$A$32,0)),0)" xr:uid="{00000000-0004-0000-0200-000005000000}"/>
    <hyperlink ref="G8" location="'Daily Time'!A4" display="=IFERROR(INDEX('Daily Time'!$H$2:$H$32,MATCH(G7,'Daily Time'!$A$2:$A$32,0)),0)" xr:uid="{00000000-0004-0000-0200-000006000000}"/>
    <hyperlink ref="H8" location="'Daily Time'!A5" display="=IFERROR(INDEX('Daily Time'!$H$2:$H$32,MATCH(H7,'Daily Time'!$A$2:$A$32,0)),0)" xr:uid="{00000000-0004-0000-0200-000007000000}"/>
    <hyperlink ref="B9" location="'Daily Time'!A6" display="2026-07-05 00:00:00" xr:uid="{00000000-0004-0000-0200-000008000000}"/>
    <hyperlink ref="C9" location="'Day Detail'!A7" display="2026-07-06 00:00:00" xr:uid="{00000000-0004-0000-0200-000009000000}"/>
    <hyperlink ref="D9" location="'Daily Time'!A8" display="2026-07-07 00:00:00" xr:uid="{00000000-0004-0000-0200-00000A000000}"/>
    <hyperlink ref="E9" location="'Day Detail'!A10" display="2026-07-08 00:00:00" xr:uid="{00000000-0004-0000-0200-00000B000000}"/>
    <hyperlink ref="F9" location="'Day Detail'!A12" display="2026-07-09 00:00:00" xr:uid="{00000000-0004-0000-0200-00000C000000}"/>
    <hyperlink ref="G9" location="'Daily Time'!A11" display="2026-07-10 00:00:00" xr:uid="{00000000-0004-0000-0200-00000D000000}"/>
    <hyperlink ref="H9" location="'Daily Time'!A12" display="2026-07-11 00:00:00" xr:uid="{00000000-0004-0000-0200-00000E000000}"/>
    <hyperlink ref="B10" location="'Daily Time'!A6" display="=IFERROR(INDEX('Daily Time'!$H$2:$H$32,MATCH(B9,'Daily Time'!$A$2:$A$32,0)),0)" xr:uid="{00000000-0004-0000-0200-00000F000000}"/>
    <hyperlink ref="C10" location="'Day Detail'!A7" display="=IFERROR(INDEX('Daily Time'!$H$2:$H$32,MATCH(C9,'Daily Time'!$A$2:$A$32,0)),0)" xr:uid="{00000000-0004-0000-0200-000010000000}"/>
    <hyperlink ref="D10" location="'Daily Time'!A8" display="=IFERROR(INDEX('Daily Time'!$H$2:$H$32,MATCH(D9,'Daily Time'!$A$2:$A$32,0)),0)" xr:uid="{00000000-0004-0000-0200-000011000000}"/>
    <hyperlink ref="E10" location="'Day Detail'!A10" display="=IFERROR(INDEX('Daily Time'!$H$2:$H$32,MATCH(E9,'Daily Time'!$A$2:$A$32,0)),0)" xr:uid="{00000000-0004-0000-0200-000012000000}"/>
    <hyperlink ref="F10" location="'Day Detail'!A12" display="=IFERROR(INDEX('Daily Time'!$H$2:$H$32,MATCH(F9,'Daily Time'!$A$2:$A$32,0)),0)" xr:uid="{00000000-0004-0000-0200-000013000000}"/>
    <hyperlink ref="G10" location="'Daily Time'!A11" display="=IFERROR(INDEX('Daily Time'!$H$2:$H$32,MATCH(G9,'Daily Time'!$A$2:$A$32,0)),0)" xr:uid="{00000000-0004-0000-0200-000014000000}"/>
    <hyperlink ref="H10" location="'Daily Time'!A12" display="=IFERROR(INDEX('Daily Time'!$H$2:$H$32,MATCH(H9,'Daily Time'!$A$2:$A$32,0)),0)" xr:uid="{00000000-0004-0000-0200-000015000000}"/>
    <hyperlink ref="B11" location="'Daily Time'!A13" display="2026-07-12 00:00:00" xr:uid="{00000000-0004-0000-0200-000016000000}"/>
    <hyperlink ref="C11" location="'Day Detail'!A13" display="2026-07-13 00:00:00" xr:uid="{00000000-0004-0000-0200-000017000000}"/>
    <hyperlink ref="D11" location="'Daily Time'!A15" display="2026-07-14 00:00:00" xr:uid="{00000000-0004-0000-0200-000018000000}"/>
    <hyperlink ref="E11" location="'Day Detail'!A14" display="2026-07-15 00:00:00" xr:uid="{00000000-0004-0000-0200-000019000000}"/>
    <hyperlink ref="F11" location="'Daily Time'!A17" display="2026-07-16 00:00:00" xr:uid="{00000000-0004-0000-0200-00001A000000}"/>
    <hyperlink ref="G11" location="'Daily Time'!A18" display="2026-07-17 00:00:00" xr:uid="{00000000-0004-0000-0200-00001B000000}"/>
    <hyperlink ref="H11" location="'Daily Time'!A19" display="2026-07-18 00:00:00" xr:uid="{00000000-0004-0000-0200-00001C000000}"/>
    <hyperlink ref="B12" location="'Daily Time'!A13" display="=IFERROR(INDEX('Daily Time'!$H$2:$H$32,MATCH(B11,'Daily Time'!$A$2:$A$32,0)),0)" xr:uid="{00000000-0004-0000-0200-00001D000000}"/>
    <hyperlink ref="C12" location="'Day Detail'!A13" display="=IFERROR(INDEX('Daily Time'!$H$2:$H$32,MATCH(C11,'Daily Time'!$A$2:$A$32,0)),0)" xr:uid="{00000000-0004-0000-0200-00001E000000}"/>
    <hyperlink ref="D12" location="'Daily Time'!A15" display="=IFERROR(INDEX('Daily Time'!$H$2:$H$32,MATCH(D11,'Daily Time'!$A$2:$A$32,0)),0)" xr:uid="{00000000-0004-0000-0200-00001F000000}"/>
    <hyperlink ref="E12" location="'Day Detail'!A14" display="=IFERROR(INDEX('Daily Time'!$H$2:$H$32,MATCH(E11,'Daily Time'!$A$2:$A$32,0)),0)" xr:uid="{00000000-0004-0000-0200-000020000000}"/>
    <hyperlink ref="F12" location="'Daily Time'!A17" display="=IFERROR(INDEX('Daily Time'!$H$2:$H$32,MATCH(F11,'Daily Time'!$A$2:$A$32,0)),0)" xr:uid="{00000000-0004-0000-0200-000021000000}"/>
    <hyperlink ref="G12" location="'Daily Time'!A18" display="=IFERROR(INDEX('Daily Time'!$H$2:$H$32,MATCH(G11,'Daily Time'!$A$2:$A$32,0)),0)" xr:uid="{00000000-0004-0000-0200-000022000000}"/>
    <hyperlink ref="H12" location="'Daily Time'!A19" display="=IFERROR(INDEX('Daily Time'!$H$2:$H$32,MATCH(H11,'Daily Time'!$A$2:$A$32,0)),0)" xr:uid="{00000000-0004-0000-0200-000023000000}"/>
    <hyperlink ref="B13" location="'Daily Time'!A20" display="2026-07-19 00:00:00" xr:uid="{00000000-0004-0000-0200-000024000000}"/>
    <hyperlink ref="C13" location="'Daily Time'!A21" display="2026-07-20 00:00:00" xr:uid="{00000000-0004-0000-0200-000025000000}"/>
    <hyperlink ref="D13" location="'Daily Time'!A22" display="2026-07-21 00:00:00" xr:uid="{00000000-0004-0000-0200-000026000000}"/>
    <hyperlink ref="E13" location="'Daily Time'!A23" display="2026-07-22 00:00:00" xr:uid="{00000000-0004-0000-0200-000027000000}"/>
    <hyperlink ref="F13" location="'Daily Time'!A24" display="2026-07-23 00:00:00" xr:uid="{00000000-0004-0000-0200-000028000000}"/>
    <hyperlink ref="G13" location="'Daily Time'!A25" display="2026-07-24 00:00:00" xr:uid="{00000000-0004-0000-0200-000029000000}"/>
    <hyperlink ref="H13" location="'Daily Time'!A26" display="2026-07-25 00:00:00" xr:uid="{00000000-0004-0000-0200-00002A000000}"/>
    <hyperlink ref="B14" location="'Daily Time'!A20" display="=IFERROR(INDEX('Daily Time'!$H$2:$H$32,MATCH(B13,'Daily Time'!$A$2:$A$32,0)),0)" xr:uid="{00000000-0004-0000-0200-00002B000000}"/>
    <hyperlink ref="C14" location="'Daily Time'!A21" display="=IFERROR(INDEX('Daily Time'!$H$2:$H$32,MATCH(C13,'Daily Time'!$A$2:$A$32,0)),0)" xr:uid="{00000000-0004-0000-0200-00002C000000}"/>
    <hyperlink ref="D14" location="'Daily Time'!A22" display="=IFERROR(INDEX('Daily Time'!$H$2:$H$32,MATCH(D13,'Daily Time'!$A$2:$A$32,0)),0)" xr:uid="{00000000-0004-0000-0200-00002D000000}"/>
    <hyperlink ref="E14" location="'Daily Time'!A23" display="=IFERROR(INDEX('Daily Time'!$H$2:$H$32,MATCH(E13,'Daily Time'!$A$2:$A$32,0)),0)" xr:uid="{00000000-0004-0000-0200-00002E000000}"/>
    <hyperlink ref="F14" location="'Daily Time'!A24" display="=IFERROR(INDEX('Daily Time'!$H$2:$H$32,MATCH(F13,'Daily Time'!$A$2:$A$32,0)),0)" xr:uid="{00000000-0004-0000-0200-00002F000000}"/>
    <hyperlink ref="G14" location="'Daily Time'!A25" display="=IFERROR(INDEX('Daily Time'!$H$2:$H$32,MATCH(G13,'Daily Time'!$A$2:$A$32,0)),0)" xr:uid="{00000000-0004-0000-0200-000030000000}"/>
    <hyperlink ref="H14" location="'Daily Time'!A26" display="=IFERROR(INDEX('Daily Time'!$H$2:$H$32,MATCH(H13,'Daily Time'!$A$2:$A$32,0)),0)" xr:uid="{00000000-0004-0000-0200-000031000000}"/>
    <hyperlink ref="B15" location="'Daily Time'!A27" display="2026-07-26 00:00:00" xr:uid="{00000000-0004-0000-0200-000032000000}"/>
    <hyperlink ref="C15" location="'Daily Time'!A28" display="2026-07-27 00:00:00" xr:uid="{00000000-0004-0000-0200-000033000000}"/>
    <hyperlink ref="D15" location="'Daily Time'!A29" display="2026-07-28 00:00:00" xr:uid="{00000000-0004-0000-0200-000034000000}"/>
    <hyperlink ref="E15" location="'Daily Time'!A30" display="2026-07-29 00:00:00" xr:uid="{00000000-0004-0000-0200-000035000000}"/>
    <hyperlink ref="F15" location="'Daily Time'!A31" display="2026-07-30 00:00:00" xr:uid="{00000000-0004-0000-0200-000036000000}"/>
    <hyperlink ref="G15" location="'Daily Time'!A32" display="2026-07-31 00:00:00" xr:uid="{00000000-0004-0000-0200-000037000000}"/>
    <hyperlink ref="B16" location="'Daily Time'!A27" display="=IFERROR(INDEX('Daily Time'!$H$2:$H$32,MATCH(B15,'Daily Time'!$A$2:$A$32,0)),0)" xr:uid="{00000000-0004-0000-0200-000038000000}"/>
    <hyperlink ref="C16" location="'Daily Time'!A28" display="=IFERROR(INDEX('Daily Time'!$H$2:$H$32,MATCH(C15,'Daily Time'!$A$2:$A$32,0)),0)" xr:uid="{00000000-0004-0000-0200-000039000000}"/>
    <hyperlink ref="D16" location="'Daily Time'!A29" display="=IFERROR(INDEX('Daily Time'!$H$2:$H$32,MATCH(D15,'Daily Time'!$A$2:$A$32,0)),0)" xr:uid="{00000000-0004-0000-0200-00003A000000}"/>
    <hyperlink ref="E16" location="'Daily Time'!A30" display="=IFERROR(INDEX('Daily Time'!$H$2:$H$32,MATCH(E15,'Daily Time'!$A$2:$A$32,0)),0)" xr:uid="{00000000-0004-0000-0200-00003B000000}"/>
    <hyperlink ref="F16" location="'Daily Time'!A31" display="=IFERROR(INDEX('Daily Time'!$H$2:$H$32,MATCH(F15,'Daily Time'!$A$2:$A$32,0)),0)" xr:uid="{00000000-0004-0000-0200-00003C000000}"/>
    <hyperlink ref="G16" location="'Daily Time'!A32" display="=IFERROR(INDEX('Daily Time'!$H$2:$H$32,MATCH(G15,'Daily Time'!$A$2:$A$32,0)),0)" xr:uid="{00000000-0004-0000-0200-00003D000000}"/>
  </hyperlinks>
  <pageMargins left="0.75" right="0.75" top="1" bottom="1" header="0.5" footer="0.5"/>
  <headerFooter>
    <oddFooter>&amp;LCompleteTech LLC · Innovation at Every Integration · complete.tech&amp;RPage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3A8A"/>
  </sheetPr>
  <dimension ref="A1:P36"/>
  <sheetViews>
    <sheetView workbookViewId="0">
      <pane xSplit="2" ySplit="1" topLeftCell="C2" activePane="bottomRight" state="frozen"/>
      <selection pane="topRight"/>
      <selection pane="bottomLeft"/>
      <selection pane="bottomRight"/>
    </sheetView>
  </sheetViews>
  <sheetFormatPr defaultRowHeight="15" x14ac:dyDescent="0.25"/>
  <cols>
    <col min="1" max="1" width="11" customWidth="1"/>
    <col min="2" max="2" width="6" customWidth="1"/>
    <col min="3" max="3" width="30" customWidth="1"/>
    <col min="4" max="4" width="28" customWidth="1"/>
    <col min="5" max="5" width="32" customWidth="1"/>
    <col min="6" max="6" width="40" customWidth="1"/>
    <col min="7" max="7" width="32" customWidth="1"/>
    <col min="8" max="8" width="12" customWidth="1"/>
    <col min="9" max="9" width="10" customWidth="1"/>
    <col min="10" max="10" width="3" customWidth="1"/>
    <col min="11" max="12" width="14" customWidth="1"/>
    <col min="13" max="13" width="12" customWidth="1"/>
    <col min="14" max="15" width="14" customWidth="1"/>
    <col min="16" max="16" width="12" customWidth="1"/>
  </cols>
  <sheetData>
    <row r="1" spans="1:16" ht="51" x14ac:dyDescent="0.25">
      <c r="A1" s="8" t="s">
        <v>75</v>
      </c>
      <c r="B1" s="8" t="s">
        <v>76</v>
      </c>
      <c r="C1" s="8" t="str">
        <f>'Time Spent'!A2</f>
        <v>Teams chat sessions I took part in</v>
      </c>
      <c r="D1" s="8" t="str">
        <f>'Time Spent'!A3</f>
        <v>Email messages I wrote or drafted</v>
      </c>
      <c r="E1" s="8" t="str">
        <f>'Time Spent'!A4</f>
        <v>Held meetings (Teams card minutes where recorded)</v>
      </c>
      <c r="F1" s="8" t="str">
        <f>'Time Spent'!A5</f>
        <v>Meeting-day minimum top-up (a day with an actual meeting bills at least the day minimum, I7)</v>
      </c>
      <c r="G1" s="8" t="str">
        <f>'Time Spent'!A6</f>
        <v>Unconfirmed recurring items (only counted if toggle = Yes)</v>
      </c>
      <c r="H1" s="8" t="s">
        <v>36</v>
      </c>
      <c r="I1" s="8" t="s">
        <v>37</v>
      </c>
      <c r="J1" s="8"/>
      <c r="K1" s="8" t="s">
        <v>77</v>
      </c>
      <c r="L1" s="8" t="s">
        <v>78</v>
      </c>
      <c r="M1" s="8" t="s">
        <v>79</v>
      </c>
      <c r="N1" s="8" t="s">
        <v>80</v>
      </c>
      <c r="O1" s="8" t="s">
        <v>81</v>
      </c>
      <c r="P1" s="8" t="s">
        <v>82</v>
      </c>
    </row>
    <row r="2" spans="1:16" x14ac:dyDescent="0.25">
      <c r="A2" s="23">
        <v>46204</v>
      </c>
      <c r="B2" s="5" t="str">
        <f t="shared" ref="B2:B32" si="0">TEXT(A2,"ddd")</f>
        <v>Wed</v>
      </c>
      <c r="C2" s="10">
        <f>SUMIFS('Teams Sessions'!$H$2:$H$4,'Teams Sessions'!$A$2:$A$4,A2)</f>
        <v>30</v>
      </c>
      <c r="D2" s="10">
        <f>COUNTIFS(Communications!$A$2:$A$13,A2,Communications!$C$2:$C$13,"Email",Communications!$H$2:$H$13,"Author*")*'Time Spent'!$I$5</f>
        <v>0</v>
      </c>
      <c r="E2" s="10">
        <f>IF('Time Spent'!$I$2="Best case",N2,K2)</f>
        <v>0</v>
      </c>
      <c r="F2" s="10">
        <f>IF('Time Spent'!$I$2="Best case",P2,M2)</f>
        <v>240</v>
      </c>
      <c r="G2" s="10">
        <f>IF('Time Spent'!$I$1="Yes",SUMIFS(Meetings!$G$2:$G$8,Meetings!$D$2:$D$8,"Unconfirmed*",Meetings!$A$2:$A$8,A2),0)</f>
        <v>0</v>
      </c>
      <c r="H2" s="10">
        <f t="shared" ref="H2:H32" si="1">SUM(C2:G2)</f>
        <v>270</v>
      </c>
      <c r="I2" s="11">
        <f t="shared" ref="I2:I32" si="2">H2/60</f>
        <v>4.5</v>
      </c>
      <c r="K2" s="10">
        <f>SUMIFS(Meetings!$K$2:$K$8,Meetings!$A$2:$A$8,A2)</f>
        <v>0</v>
      </c>
      <c r="L2" s="10">
        <f>SUMIFS(Meetings!$M$2:$M$8,Meetings!$A$2:$A$8,A2)</f>
        <v>1</v>
      </c>
      <c r="M2" s="10">
        <f>IF(L2&gt;0,MAX(0,'Time Spent'!$I$7-K2),0)</f>
        <v>240</v>
      </c>
      <c r="N2" s="10">
        <f>SUMIFS(Meetings!$L$2:$L$8,Meetings!$A$2:$A$8,A2)</f>
        <v>60</v>
      </c>
      <c r="O2" s="10">
        <f>SUMIFS(Meetings!$N$2:$N$8,Meetings!$A$2:$A$8,A2)</f>
        <v>1</v>
      </c>
      <c r="P2" s="10">
        <f>IF(O2&gt;0,MAX(0,'Time Spent'!$I$7-N2),0)</f>
        <v>180</v>
      </c>
    </row>
    <row r="3" spans="1:16" x14ac:dyDescent="0.25">
      <c r="A3" s="23">
        <v>46205</v>
      </c>
      <c r="B3" s="5" t="str">
        <f t="shared" si="0"/>
        <v>Thu</v>
      </c>
      <c r="C3" s="10">
        <f>SUMIFS('Teams Sessions'!$H$2:$H$4,'Teams Sessions'!$A$2:$A$4,A3)</f>
        <v>0</v>
      </c>
      <c r="D3" s="10">
        <f>COUNTIFS(Communications!$A$2:$A$13,A3,Communications!$C$2:$C$13,"Email",Communications!$H$2:$H$13,"Author*")*'Time Spent'!$I$5</f>
        <v>15</v>
      </c>
      <c r="E3" s="10">
        <f>IF('Time Spent'!$I$2="Best case",N3,K3)</f>
        <v>0</v>
      </c>
      <c r="F3" s="10">
        <f>IF('Time Spent'!$I$2="Best case",P3,M3)</f>
        <v>0</v>
      </c>
      <c r="G3" s="10">
        <f>IF('Time Spent'!$I$1="Yes",SUMIFS(Meetings!$G$2:$G$8,Meetings!$D$2:$D$8,"Unconfirmed*",Meetings!$A$2:$A$8,A3),0)</f>
        <v>0</v>
      </c>
      <c r="H3" s="10">
        <f t="shared" si="1"/>
        <v>15</v>
      </c>
      <c r="I3" s="11">
        <f t="shared" si="2"/>
        <v>0.25</v>
      </c>
      <c r="K3" s="10">
        <f>SUMIFS(Meetings!$K$2:$K$8,Meetings!$A$2:$A$8,A3)</f>
        <v>0</v>
      </c>
      <c r="L3" s="10">
        <f>SUMIFS(Meetings!$M$2:$M$8,Meetings!$A$2:$A$8,A3)</f>
        <v>0</v>
      </c>
      <c r="M3" s="10">
        <f>IF(L3&gt;0,MAX(0,'Time Spent'!$I$7-K3),0)</f>
        <v>0</v>
      </c>
      <c r="N3" s="10">
        <f>SUMIFS(Meetings!$L$2:$L$8,Meetings!$A$2:$A$8,A3)</f>
        <v>0</v>
      </c>
      <c r="O3" s="10">
        <f>SUMIFS(Meetings!$N$2:$N$8,Meetings!$A$2:$A$8,A3)</f>
        <v>0</v>
      </c>
      <c r="P3" s="10">
        <f>IF(O3&gt;0,MAX(0,'Time Spent'!$I$7-N3),0)</f>
        <v>0</v>
      </c>
    </row>
    <row r="4" spans="1:16" x14ac:dyDescent="0.25">
      <c r="A4" s="24">
        <v>46206</v>
      </c>
      <c r="B4" s="5" t="str">
        <f t="shared" si="0"/>
        <v>Fri</v>
      </c>
      <c r="C4" s="10">
        <f>SUMIFS('Teams Sessions'!$H$2:$H$4,'Teams Sessions'!$A$2:$A$4,A4)</f>
        <v>0</v>
      </c>
      <c r="D4" s="10">
        <f>COUNTIFS(Communications!$A$2:$A$13,A4,Communications!$C$2:$C$13,"Email",Communications!$H$2:$H$13,"Author*")*'Time Spent'!$I$5</f>
        <v>0</v>
      </c>
      <c r="E4" s="10">
        <f>IF('Time Spent'!$I$2="Best case",N4,K4)</f>
        <v>0</v>
      </c>
      <c r="F4" s="10">
        <f>IF('Time Spent'!$I$2="Best case",P4,M4)</f>
        <v>0</v>
      </c>
      <c r="G4" s="10">
        <f>IF('Time Spent'!$I$1="Yes",SUMIFS(Meetings!$G$2:$G$8,Meetings!$D$2:$D$8,"Unconfirmed*",Meetings!$A$2:$A$8,A4),0)</f>
        <v>0</v>
      </c>
      <c r="H4" s="10">
        <f t="shared" si="1"/>
        <v>0</v>
      </c>
      <c r="I4" s="11">
        <f t="shared" si="2"/>
        <v>0</v>
      </c>
      <c r="K4" s="10">
        <f>SUMIFS(Meetings!$K$2:$K$8,Meetings!$A$2:$A$8,A4)</f>
        <v>0</v>
      </c>
      <c r="L4" s="10">
        <f>SUMIFS(Meetings!$M$2:$M$8,Meetings!$A$2:$A$8,A4)</f>
        <v>0</v>
      </c>
      <c r="M4" s="10">
        <f>IF(L4&gt;0,MAX(0,'Time Spent'!$I$7-K4),0)</f>
        <v>0</v>
      </c>
      <c r="N4" s="10">
        <f>SUMIFS(Meetings!$L$2:$L$8,Meetings!$A$2:$A$8,A4)</f>
        <v>0</v>
      </c>
      <c r="O4" s="10">
        <f>SUMIFS(Meetings!$N$2:$N$8,Meetings!$A$2:$A$8,A4)</f>
        <v>0</v>
      </c>
      <c r="P4" s="10">
        <f>IF(O4&gt;0,MAX(0,'Time Spent'!$I$7-N4),0)</f>
        <v>0</v>
      </c>
    </row>
    <row r="5" spans="1:16" x14ac:dyDescent="0.25">
      <c r="A5" s="24">
        <v>46207</v>
      </c>
      <c r="B5" s="5" t="str">
        <f t="shared" si="0"/>
        <v>Sat</v>
      </c>
      <c r="C5" s="10">
        <f>SUMIFS('Teams Sessions'!$H$2:$H$4,'Teams Sessions'!$A$2:$A$4,A5)</f>
        <v>0</v>
      </c>
      <c r="D5" s="10">
        <f>COUNTIFS(Communications!$A$2:$A$13,A5,Communications!$C$2:$C$13,"Email",Communications!$H$2:$H$13,"Author*")*'Time Spent'!$I$5</f>
        <v>0</v>
      </c>
      <c r="E5" s="10">
        <f>IF('Time Spent'!$I$2="Best case",N5,K5)</f>
        <v>0</v>
      </c>
      <c r="F5" s="10">
        <f>IF('Time Spent'!$I$2="Best case",P5,M5)</f>
        <v>0</v>
      </c>
      <c r="G5" s="10">
        <f>IF('Time Spent'!$I$1="Yes",SUMIFS(Meetings!$G$2:$G$8,Meetings!$D$2:$D$8,"Unconfirmed*",Meetings!$A$2:$A$8,A5),0)</f>
        <v>0</v>
      </c>
      <c r="H5" s="10">
        <f t="shared" si="1"/>
        <v>0</v>
      </c>
      <c r="I5" s="11">
        <f t="shared" si="2"/>
        <v>0</v>
      </c>
      <c r="K5" s="10">
        <f>SUMIFS(Meetings!$K$2:$K$8,Meetings!$A$2:$A$8,A5)</f>
        <v>0</v>
      </c>
      <c r="L5" s="10">
        <f>SUMIFS(Meetings!$M$2:$M$8,Meetings!$A$2:$A$8,A5)</f>
        <v>0</v>
      </c>
      <c r="M5" s="10">
        <f>IF(L5&gt;0,MAX(0,'Time Spent'!$I$7-K5),0)</f>
        <v>0</v>
      </c>
      <c r="N5" s="10">
        <f>SUMIFS(Meetings!$L$2:$L$8,Meetings!$A$2:$A$8,A5)</f>
        <v>0</v>
      </c>
      <c r="O5" s="10">
        <f>SUMIFS(Meetings!$N$2:$N$8,Meetings!$A$2:$A$8,A5)</f>
        <v>0</v>
      </c>
      <c r="P5" s="10">
        <f>IF(O5&gt;0,MAX(0,'Time Spent'!$I$7-N5),0)</f>
        <v>0</v>
      </c>
    </row>
    <row r="6" spans="1:16" x14ac:dyDescent="0.25">
      <c r="A6" s="24">
        <v>46208</v>
      </c>
      <c r="B6" s="5" t="str">
        <f t="shared" si="0"/>
        <v>Sun</v>
      </c>
      <c r="C6" s="10">
        <f>SUMIFS('Teams Sessions'!$H$2:$H$4,'Teams Sessions'!$A$2:$A$4,A6)</f>
        <v>0</v>
      </c>
      <c r="D6" s="10">
        <f>COUNTIFS(Communications!$A$2:$A$13,A6,Communications!$C$2:$C$13,"Email",Communications!$H$2:$H$13,"Author*")*'Time Spent'!$I$5</f>
        <v>0</v>
      </c>
      <c r="E6" s="10">
        <f>IF('Time Spent'!$I$2="Best case",N6,K6)</f>
        <v>0</v>
      </c>
      <c r="F6" s="10">
        <f>IF('Time Spent'!$I$2="Best case",P6,M6)</f>
        <v>0</v>
      </c>
      <c r="G6" s="10">
        <f>IF('Time Spent'!$I$1="Yes",SUMIFS(Meetings!$G$2:$G$8,Meetings!$D$2:$D$8,"Unconfirmed*",Meetings!$A$2:$A$8,A6),0)</f>
        <v>0</v>
      </c>
      <c r="H6" s="10">
        <f t="shared" si="1"/>
        <v>0</v>
      </c>
      <c r="I6" s="11">
        <f t="shared" si="2"/>
        <v>0</v>
      </c>
      <c r="K6" s="10">
        <f>SUMIFS(Meetings!$K$2:$K$8,Meetings!$A$2:$A$8,A6)</f>
        <v>0</v>
      </c>
      <c r="L6" s="10">
        <f>SUMIFS(Meetings!$M$2:$M$8,Meetings!$A$2:$A$8,A6)</f>
        <v>0</v>
      </c>
      <c r="M6" s="10">
        <f>IF(L6&gt;0,MAX(0,'Time Spent'!$I$7-K6),0)</f>
        <v>0</v>
      </c>
      <c r="N6" s="10">
        <f>SUMIFS(Meetings!$L$2:$L$8,Meetings!$A$2:$A$8,A6)</f>
        <v>0</v>
      </c>
      <c r="O6" s="10">
        <f>SUMIFS(Meetings!$N$2:$N$8,Meetings!$A$2:$A$8,A6)</f>
        <v>0</v>
      </c>
      <c r="P6" s="10">
        <f>IF(O6&gt;0,MAX(0,'Time Spent'!$I$7-N6),0)</f>
        <v>0</v>
      </c>
    </row>
    <row r="7" spans="1:16" x14ac:dyDescent="0.25">
      <c r="A7" s="23">
        <v>46209</v>
      </c>
      <c r="B7" s="5" t="str">
        <f t="shared" si="0"/>
        <v>Mon</v>
      </c>
      <c r="C7" s="10">
        <f>SUMIFS('Teams Sessions'!$H$2:$H$4,'Teams Sessions'!$A$2:$A$4,A7)</f>
        <v>15</v>
      </c>
      <c r="D7" s="10">
        <f>COUNTIFS(Communications!$A$2:$A$13,A7,Communications!$C$2:$C$13,"Email",Communications!$H$2:$H$13,"Author*")*'Time Spent'!$I$5</f>
        <v>0</v>
      </c>
      <c r="E7" s="10">
        <f>IF('Time Spent'!$I$2="Best case",N7,K7)</f>
        <v>0</v>
      </c>
      <c r="F7" s="10">
        <f>IF('Time Spent'!$I$2="Best case",P7,M7)</f>
        <v>240</v>
      </c>
      <c r="G7" s="10">
        <f>IF('Time Spent'!$I$1="Yes",SUMIFS(Meetings!$G$2:$G$8,Meetings!$D$2:$D$8,"Unconfirmed*",Meetings!$A$2:$A$8,A7),0)</f>
        <v>0</v>
      </c>
      <c r="H7" s="10">
        <f t="shared" si="1"/>
        <v>255</v>
      </c>
      <c r="I7" s="11">
        <f t="shared" si="2"/>
        <v>4.25</v>
      </c>
      <c r="K7" s="10">
        <f>SUMIFS(Meetings!$K$2:$K$8,Meetings!$A$2:$A$8,A7)</f>
        <v>0</v>
      </c>
      <c r="L7" s="10">
        <f>SUMIFS(Meetings!$M$2:$M$8,Meetings!$A$2:$A$8,A7)</f>
        <v>1</v>
      </c>
      <c r="M7" s="10">
        <f>IF(L7&gt;0,MAX(0,'Time Spent'!$I$7-K7),0)</f>
        <v>240</v>
      </c>
      <c r="N7" s="10">
        <f>SUMIFS(Meetings!$L$2:$L$8,Meetings!$A$2:$A$8,A7)</f>
        <v>30</v>
      </c>
      <c r="O7" s="10">
        <f>SUMIFS(Meetings!$N$2:$N$8,Meetings!$A$2:$A$8,A7)</f>
        <v>1</v>
      </c>
      <c r="P7" s="10">
        <f>IF(O7&gt;0,MAX(0,'Time Spent'!$I$7-N7),0)</f>
        <v>210</v>
      </c>
    </row>
    <row r="8" spans="1:16" x14ac:dyDescent="0.25">
      <c r="A8" s="24">
        <v>46210</v>
      </c>
      <c r="B8" s="5" t="str">
        <f t="shared" si="0"/>
        <v>Tue</v>
      </c>
      <c r="C8" s="10">
        <f>SUMIFS('Teams Sessions'!$H$2:$H$4,'Teams Sessions'!$A$2:$A$4,A8)</f>
        <v>0</v>
      </c>
      <c r="D8" s="10">
        <f>COUNTIFS(Communications!$A$2:$A$13,A8,Communications!$C$2:$C$13,"Email",Communications!$H$2:$H$13,"Author*")*'Time Spent'!$I$5</f>
        <v>0</v>
      </c>
      <c r="E8" s="10">
        <f>IF('Time Spent'!$I$2="Best case",N8,K8)</f>
        <v>0</v>
      </c>
      <c r="F8" s="10">
        <f>IF('Time Spent'!$I$2="Best case",P8,M8)</f>
        <v>0</v>
      </c>
      <c r="G8" s="10">
        <f>IF('Time Spent'!$I$1="Yes",SUMIFS(Meetings!$G$2:$G$8,Meetings!$D$2:$D$8,"Unconfirmed*",Meetings!$A$2:$A$8,A8),0)</f>
        <v>0</v>
      </c>
      <c r="H8" s="10">
        <f t="shared" si="1"/>
        <v>0</v>
      </c>
      <c r="I8" s="11">
        <f t="shared" si="2"/>
        <v>0</v>
      </c>
      <c r="K8" s="10">
        <f>SUMIFS(Meetings!$K$2:$K$8,Meetings!$A$2:$A$8,A8)</f>
        <v>0</v>
      </c>
      <c r="L8" s="10">
        <f>SUMIFS(Meetings!$M$2:$M$8,Meetings!$A$2:$A$8,A8)</f>
        <v>0</v>
      </c>
      <c r="M8" s="10">
        <f>IF(L8&gt;0,MAX(0,'Time Spent'!$I$7-K8),0)</f>
        <v>0</v>
      </c>
      <c r="N8" s="10">
        <f>SUMIFS(Meetings!$L$2:$L$8,Meetings!$A$2:$A$8,A8)</f>
        <v>0</v>
      </c>
      <c r="O8" s="10">
        <f>SUMIFS(Meetings!$N$2:$N$8,Meetings!$A$2:$A$8,A8)</f>
        <v>0</v>
      </c>
      <c r="P8" s="10">
        <f>IF(O8&gt;0,MAX(0,'Time Spent'!$I$7-N8),0)</f>
        <v>0</v>
      </c>
    </row>
    <row r="9" spans="1:16" x14ac:dyDescent="0.25">
      <c r="A9" s="23">
        <v>46211</v>
      </c>
      <c r="B9" s="5" t="str">
        <f t="shared" si="0"/>
        <v>Wed</v>
      </c>
      <c r="C9" s="10">
        <f>SUMIFS('Teams Sessions'!$H$2:$H$4,'Teams Sessions'!$A$2:$A$4,A9)</f>
        <v>0</v>
      </c>
      <c r="D9" s="10">
        <f>COUNTIFS(Communications!$A$2:$A$13,A9,Communications!$C$2:$C$13,"Email",Communications!$H$2:$H$13,"Author*")*'Time Spent'!$I$5</f>
        <v>0</v>
      </c>
      <c r="E9" s="10">
        <f>IF('Time Spent'!$I$2="Best case",N9,K9)</f>
        <v>0</v>
      </c>
      <c r="F9" s="10">
        <f>IF('Time Spent'!$I$2="Best case",P9,M9)</f>
        <v>0</v>
      </c>
      <c r="G9" s="10">
        <f>IF('Time Spent'!$I$1="Yes",SUMIFS(Meetings!$G$2:$G$8,Meetings!$D$2:$D$8,"Unconfirmed*",Meetings!$A$2:$A$8,A9),0)</f>
        <v>0</v>
      </c>
      <c r="H9" s="10">
        <f t="shared" si="1"/>
        <v>0</v>
      </c>
      <c r="I9" s="11">
        <f t="shared" si="2"/>
        <v>0</v>
      </c>
      <c r="K9" s="10">
        <f>SUMIFS(Meetings!$K$2:$K$8,Meetings!$A$2:$A$8,A9)</f>
        <v>0</v>
      </c>
      <c r="L9" s="10">
        <f>SUMIFS(Meetings!$M$2:$M$8,Meetings!$A$2:$A$8,A9)</f>
        <v>0</v>
      </c>
      <c r="M9" s="10">
        <f>IF(L9&gt;0,MAX(0,'Time Spent'!$I$7-K9),0)</f>
        <v>0</v>
      </c>
      <c r="N9" s="10">
        <f>SUMIFS(Meetings!$L$2:$L$8,Meetings!$A$2:$A$8,A9)</f>
        <v>60</v>
      </c>
      <c r="O9" s="10">
        <f>SUMIFS(Meetings!$N$2:$N$8,Meetings!$A$2:$A$8,A9)</f>
        <v>1</v>
      </c>
      <c r="P9" s="10">
        <f>IF(O9&gt;0,MAX(0,'Time Spent'!$I$7-N9),0)</f>
        <v>180</v>
      </c>
    </row>
    <row r="10" spans="1:16" x14ac:dyDescent="0.25">
      <c r="A10" s="23">
        <v>46212</v>
      </c>
      <c r="B10" s="5" t="str">
        <f t="shared" si="0"/>
        <v>Thu</v>
      </c>
      <c r="C10" s="10">
        <f>SUMIFS('Teams Sessions'!$H$2:$H$4,'Teams Sessions'!$A$2:$A$4,A10)</f>
        <v>0</v>
      </c>
      <c r="D10" s="10">
        <f>COUNTIFS(Communications!$A$2:$A$13,A10,Communications!$C$2:$C$13,"Email",Communications!$H$2:$H$13,"Author*")*'Time Spent'!$I$5</f>
        <v>0</v>
      </c>
      <c r="E10" s="10">
        <f>IF('Time Spent'!$I$2="Best case",N10,K10)</f>
        <v>0</v>
      </c>
      <c r="F10" s="10">
        <f>IF('Time Spent'!$I$2="Best case",P10,M10)</f>
        <v>0</v>
      </c>
      <c r="G10" s="10">
        <f>IF('Time Spent'!$I$1="Yes",SUMIFS(Meetings!$G$2:$G$8,Meetings!$D$2:$D$8,"Unconfirmed*",Meetings!$A$2:$A$8,A10),0)</f>
        <v>0</v>
      </c>
      <c r="H10" s="10">
        <f t="shared" si="1"/>
        <v>0</v>
      </c>
      <c r="I10" s="11">
        <f t="shared" si="2"/>
        <v>0</v>
      </c>
      <c r="K10" s="10">
        <f>SUMIFS(Meetings!$K$2:$K$8,Meetings!$A$2:$A$8,A10)</f>
        <v>0</v>
      </c>
      <c r="L10" s="10">
        <f>SUMIFS(Meetings!$M$2:$M$8,Meetings!$A$2:$A$8,A10)</f>
        <v>0</v>
      </c>
      <c r="M10" s="10">
        <f>IF(L10&gt;0,MAX(0,'Time Spent'!$I$7-K10),0)</f>
        <v>0</v>
      </c>
      <c r="N10" s="10">
        <f>SUMIFS(Meetings!$L$2:$L$8,Meetings!$A$2:$A$8,A10)</f>
        <v>0</v>
      </c>
      <c r="O10" s="10">
        <f>SUMIFS(Meetings!$N$2:$N$8,Meetings!$A$2:$A$8,A10)</f>
        <v>0</v>
      </c>
      <c r="P10" s="10">
        <f>IF(O10&gt;0,MAX(0,'Time Spent'!$I$7-N10),0)</f>
        <v>0</v>
      </c>
    </row>
    <row r="11" spans="1:16" x14ac:dyDescent="0.25">
      <c r="A11" s="24">
        <v>46213</v>
      </c>
      <c r="B11" s="5" t="str">
        <f t="shared" si="0"/>
        <v>Fri</v>
      </c>
      <c r="C11" s="10">
        <f>SUMIFS('Teams Sessions'!$H$2:$H$4,'Teams Sessions'!$A$2:$A$4,A11)</f>
        <v>0</v>
      </c>
      <c r="D11" s="10">
        <f>COUNTIFS(Communications!$A$2:$A$13,A11,Communications!$C$2:$C$13,"Email",Communications!$H$2:$H$13,"Author*")*'Time Spent'!$I$5</f>
        <v>0</v>
      </c>
      <c r="E11" s="10">
        <f>IF('Time Spent'!$I$2="Best case",N11,K11)</f>
        <v>0</v>
      </c>
      <c r="F11" s="10">
        <f>IF('Time Spent'!$I$2="Best case",P11,M11)</f>
        <v>0</v>
      </c>
      <c r="G11" s="10">
        <f>IF('Time Spent'!$I$1="Yes",SUMIFS(Meetings!$G$2:$G$8,Meetings!$D$2:$D$8,"Unconfirmed*",Meetings!$A$2:$A$8,A11),0)</f>
        <v>0</v>
      </c>
      <c r="H11" s="10">
        <f t="shared" si="1"/>
        <v>0</v>
      </c>
      <c r="I11" s="11">
        <f t="shared" si="2"/>
        <v>0</v>
      </c>
      <c r="K11" s="10">
        <f>SUMIFS(Meetings!$K$2:$K$8,Meetings!$A$2:$A$8,A11)</f>
        <v>0</v>
      </c>
      <c r="L11" s="10">
        <f>SUMIFS(Meetings!$M$2:$M$8,Meetings!$A$2:$A$8,A11)</f>
        <v>0</v>
      </c>
      <c r="M11" s="10">
        <f>IF(L11&gt;0,MAX(0,'Time Spent'!$I$7-K11),0)</f>
        <v>0</v>
      </c>
      <c r="N11" s="10">
        <f>SUMIFS(Meetings!$L$2:$L$8,Meetings!$A$2:$A$8,A11)</f>
        <v>0</v>
      </c>
      <c r="O11" s="10">
        <f>SUMIFS(Meetings!$N$2:$N$8,Meetings!$A$2:$A$8,A11)</f>
        <v>0</v>
      </c>
      <c r="P11" s="10">
        <f>IF(O11&gt;0,MAX(0,'Time Spent'!$I$7-N11),0)</f>
        <v>0</v>
      </c>
    </row>
    <row r="12" spans="1:16" x14ac:dyDescent="0.25">
      <c r="A12" s="24">
        <v>46214</v>
      </c>
      <c r="B12" s="5" t="str">
        <f t="shared" si="0"/>
        <v>Sat</v>
      </c>
      <c r="C12" s="10">
        <f>SUMIFS('Teams Sessions'!$H$2:$H$4,'Teams Sessions'!$A$2:$A$4,A12)</f>
        <v>0</v>
      </c>
      <c r="D12" s="10">
        <f>COUNTIFS(Communications!$A$2:$A$13,A12,Communications!$C$2:$C$13,"Email",Communications!$H$2:$H$13,"Author*")*'Time Spent'!$I$5</f>
        <v>0</v>
      </c>
      <c r="E12" s="10">
        <f>IF('Time Spent'!$I$2="Best case",N12,K12)</f>
        <v>0</v>
      </c>
      <c r="F12" s="10">
        <f>IF('Time Spent'!$I$2="Best case",P12,M12)</f>
        <v>0</v>
      </c>
      <c r="G12" s="10">
        <f>IF('Time Spent'!$I$1="Yes",SUMIFS(Meetings!$G$2:$G$8,Meetings!$D$2:$D$8,"Unconfirmed*",Meetings!$A$2:$A$8,A12),0)</f>
        <v>0</v>
      </c>
      <c r="H12" s="10">
        <f t="shared" si="1"/>
        <v>0</v>
      </c>
      <c r="I12" s="11">
        <f t="shared" si="2"/>
        <v>0</v>
      </c>
      <c r="K12" s="10">
        <f>SUMIFS(Meetings!$K$2:$K$8,Meetings!$A$2:$A$8,A12)</f>
        <v>0</v>
      </c>
      <c r="L12" s="10">
        <f>SUMIFS(Meetings!$M$2:$M$8,Meetings!$A$2:$A$8,A12)</f>
        <v>0</v>
      </c>
      <c r="M12" s="10">
        <f>IF(L12&gt;0,MAX(0,'Time Spent'!$I$7-K12),0)</f>
        <v>0</v>
      </c>
      <c r="N12" s="10">
        <f>SUMIFS(Meetings!$L$2:$L$8,Meetings!$A$2:$A$8,A12)</f>
        <v>0</v>
      </c>
      <c r="O12" s="10">
        <f>SUMIFS(Meetings!$N$2:$N$8,Meetings!$A$2:$A$8,A12)</f>
        <v>0</v>
      </c>
      <c r="P12" s="10">
        <f>IF(O12&gt;0,MAX(0,'Time Spent'!$I$7-N12),0)</f>
        <v>0</v>
      </c>
    </row>
    <row r="13" spans="1:16" x14ac:dyDescent="0.25">
      <c r="A13" s="24">
        <v>46215</v>
      </c>
      <c r="B13" s="5" t="str">
        <f t="shared" si="0"/>
        <v>Sun</v>
      </c>
      <c r="C13" s="10">
        <f>SUMIFS('Teams Sessions'!$H$2:$H$4,'Teams Sessions'!$A$2:$A$4,A13)</f>
        <v>0</v>
      </c>
      <c r="D13" s="10">
        <f>COUNTIFS(Communications!$A$2:$A$13,A13,Communications!$C$2:$C$13,"Email",Communications!$H$2:$H$13,"Author*")*'Time Spent'!$I$5</f>
        <v>0</v>
      </c>
      <c r="E13" s="10">
        <f>IF('Time Spent'!$I$2="Best case",N13,K13)</f>
        <v>0</v>
      </c>
      <c r="F13" s="10">
        <f>IF('Time Spent'!$I$2="Best case",P13,M13)</f>
        <v>0</v>
      </c>
      <c r="G13" s="10">
        <f>IF('Time Spent'!$I$1="Yes",SUMIFS(Meetings!$G$2:$G$8,Meetings!$D$2:$D$8,"Unconfirmed*",Meetings!$A$2:$A$8,A13),0)</f>
        <v>0</v>
      </c>
      <c r="H13" s="10">
        <f t="shared" si="1"/>
        <v>0</v>
      </c>
      <c r="I13" s="11">
        <f t="shared" si="2"/>
        <v>0</v>
      </c>
      <c r="K13" s="10">
        <f>SUMIFS(Meetings!$K$2:$K$8,Meetings!$A$2:$A$8,A13)</f>
        <v>0</v>
      </c>
      <c r="L13" s="10">
        <f>SUMIFS(Meetings!$M$2:$M$8,Meetings!$A$2:$A$8,A13)</f>
        <v>0</v>
      </c>
      <c r="M13" s="10">
        <f>IF(L13&gt;0,MAX(0,'Time Spent'!$I$7-K13),0)</f>
        <v>0</v>
      </c>
      <c r="N13" s="10">
        <f>SUMIFS(Meetings!$L$2:$L$8,Meetings!$A$2:$A$8,A13)</f>
        <v>0</v>
      </c>
      <c r="O13" s="10">
        <f>SUMIFS(Meetings!$N$2:$N$8,Meetings!$A$2:$A$8,A13)</f>
        <v>0</v>
      </c>
      <c r="P13" s="10">
        <f>IF(O13&gt;0,MAX(0,'Time Spent'!$I$7-N13),0)</f>
        <v>0</v>
      </c>
    </row>
    <row r="14" spans="1:16" x14ac:dyDescent="0.25">
      <c r="A14" s="23">
        <v>46216</v>
      </c>
      <c r="B14" s="5" t="str">
        <f t="shared" si="0"/>
        <v>Mon</v>
      </c>
      <c r="C14" s="10">
        <f>SUMIFS('Teams Sessions'!$H$2:$H$4,'Teams Sessions'!$A$2:$A$4,A14)</f>
        <v>0</v>
      </c>
      <c r="D14" s="10">
        <f>COUNTIFS(Communications!$A$2:$A$13,A14,Communications!$C$2:$C$13,"Email",Communications!$H$2:$H$13,"Author*")*'Time Spent'!$I$5</f>
        <v>0</v>
      </c>
      <c r="E14" s="10">
        <f>IF('Time Spent'!$I$2="Best case",N14,K14)</f>
        <v>0</v>
      </c>
      <c r="F14" s="10">
        <f>IF('Time Spent'!$I$2="Best case",P14,M14)</f>
        <v>0</v>
      </c>
      <c r="G14" s="10">
        <f>IF('Time Spent'!$I$1="Yes",SUMIFS(Meetings!$G$2:$G$8,Meetings!$D$2:$D$8,"Unconfirmed*",Meetings!$A$2:$A$8,A14),0)</f>
        <v>0</v>
      </c>
      <c r="H14" s="10">
        <f t="shared" si="1"/>
        <v>0</v>
      </c>
      <c r="I14" s="11">
        <f t="shared" si="2"/>
        <v>0</v>
      </c>
      <c r="K14" s="10">
        <f>SUMIFS(Meetings!$K$2:$K$8,Meetings!$A$2:$A$8,A14)</f>
        <v>0</v>
      </c>
      <c r="L14" s="10">
        <f>SUMIFS(Meetings!$M$2:$M$8,Meetings!$A$2:$A$8,A14)</f>
        <v>0</v>
      </c>
      <c r="M14" s="10">
        <f>IF(L14&gt;0,MAX(0,'Time Spent'!$I$7-K14),0)</f>
        <v>0</v>
      </c>
      <c r="N14" s="10">
        <f>SUMIFS(Meetings!$L$2:$L$8,Meetings!$A$2:$A$8,A14)</f>
        <v>0</v>
      </c>
      <c r="O14" s="10">
        <f>SUMIFS(Meetings!$N$2:$N$8,Meetings!$A$2:$A$8,A14)</f>
        <v>0</v>
      </c>
      <c r="P14" s="10">
        <f>IF(O14&gt;0,MAX(0,'Time Spent'!$I$7-N14),0)</f>
        <v>0</v>
      </c>
    </row>
    <row r="15" spans="1:16" x14ac:dyDescent="0.25">
      <c r="A15" s="24">
        <v>46217</v>
      </c>
      <c r="B15" s="5" t="str">
        <f t="shared" si="0"/>
        <v>Tue</v>
      </c>
      <c r="C15" s="10">
        <f>SUMIFS('Teams Sessions'!$H$2:$H$4,'Teams Sessions'!$A$2:$A$4,A15)</f>
        <v>0</v>
      </c>
      <c r="D15" s="10">
        <f>COUNTIFS(Communications!$A$2:$A$13,A15,Communications!$C$2:$C$13,"Email",Communications!$H$2:$H$13,"Author*")*'Time Spent'!$I$5</f>
        <v>0</v>
      </c>
      <c r="E15" s="10">
        <f>IF('Time Spent'!$I$2="Best case",N15,K15)</f>
        <v>0</v>
      </c>
      <c r="F15" s="10">
        <f>IF('Time Spent'!$I$2="Best case",P15,M15)</f>
        <v>0</v>
      </c>
      <c r="G15" s="10">
        <f>IF('Time Spent'!$I$1="Yes",SUMIFS(Meetings!$G$2:$G$8,Meetings!$D$2:$D$8,"Unconfirmed*",Meetings!$A$2:$A$8,A15),0)</f>
        <v>0</v>
      </c>
      <c r="H15" s="10">
        <f t="shared" si="1"/>
        <v>0</v>
      </c>
      <c r="I15" s="11">
        <f t="shared" si="2"/>
        <v>0</v>
      </c>
      <c r="K15" s="10">
        <f>SUMIFS(Meetings!$K$2:$K$8,Meetings!$A$2:$A$8,A15)</f>
        <v>0</v>
      </c>
      <c r="L15" s="10">
        <f>SUMIFS(Meetings!$M$2:$M$8,Meetings!$A$2:$A$8,A15)</f>
        <v>0</v>
      </c>
      <c r="M15" s="10">
        <f>IF(L15&gt;0,MAX(0,'Time Spent'!$I$7-K15),0)</f>
        <v>0</v>
      </c>
      <c r="N15" s="10">
        <f>SUMIFS(Meetings!$L$2:$L$8,Meetings!$A$2:$A$8,A15)</f>
        <v>0</v>
      </c>
      <c r="O15" s="10">
        <f>SUMIFS(Meetings!$N$2:$N$8,Meetings!$A$2:$A$8,A15)</f>
        <v>0</v>
      </c>
      <c r="P15" s="10">
        <f>IF(O15&gt;0,MAX(0,'Time Spent'!$I$7-N15),0)</f>
        <v>0</v>
      </c>
    </row>
    <row r="16" spans="1:16" x14ac:dyDescent="0.25">
      <c r="A16" s="23">
        <v>46218</v>
      </c>
      <c r="B16" s="5" t="str">
        <f t="shared" si="0"/>
        <v>Wed</v>
      </c>
      <c r="C16" s="10">
        <f>SUMIFS('Teams Sessions'!$H$2:$H$4,'Teams Sessions'!$A$2:$A$4,A16)</f>
        <v>15</v>
      </c>
      <c r="D16" s="10">
        <f>COUNTIFS(Communications!$A$2:$A$13,A16,Communications!$C$2:$C$13,"Email",Communications!$H$2:$H$13,"Author*")*'Time Spent'!$I$5</f>
        <v>0</v>
      </c>
      <c r="E16" s="10">
        <f>IF('Time Spent'!$I$2="Best case",N16,K16)</f>
        <v>45</v>
      </c>
      <c r="F16" s="10">
        <f>IF('Time Spent'!$I$2="Best case",P16,M16)</f>
        <v>195</v>
      </c>
      <c r="G16" s="10">
        <f>IF('Time Spent'!$I$1="Yes",SUMIFS(Meetings!$G$2:$G$8,Meetings!$D$2:$D$8,"Unconfirmed*",Meetings!$A$2:$A$8,A16),0)</f>
        <v>0</v>
      </c>
      <c r="H16" s="10">
        <f t="shared" si="1"/>
        <v>255</v>
      </c>
      <c r="I16" s="11">
        <f t="shared" si="2"/>
        <v>4.25</v>
      </c>
      <c r="K16" s="10">
        <f>SUMIFS(Meetings!$K$2:$K$8,Meetings!$A$2:$A$8,A16)</f>
        <v>45</v>
      </c>
      <c r="L16" s="10">
        <f>SUMIFS(Meetings!$M$2:$M$8,Meetings!$A$2:$A$8,A16)</f>
        <v>1</v>
      </c>
      <c r="M16" s="10">
        <f>IF(L16&gt;0,MAX(0,'Time Spent'!$I$7-K16),0)</f>
        <v>195</v>
      </c>
      <c r="N16" s="10">
        <f>SUMIFS(Meetings!$L$2:$L$8,Meetings!$A$2:$A$8,A16)</f>
        <v>45</v>
      </c>
      <c r="O16" s="10">
        <f>SUMIFS(Meetings!$N$2:$N$8,Meetings!$A$2:$A$8,A16)</f>
        <v>1</v>
      </c>
      <c r="P16" s="10">
        <f>IF(O16&gt;0,MAX(0,'Time Spent'!$I$7-N16),0)</f>
        <v>195</v>
      </c>
    </row>
    <row r="17" spans="1:16" x14ac:dyDescent="0.25">
      <c r="A17" s="24">
        <v>46219</v>
      </c>
      <c r="B17" s="5" t="str">
        <f t="shared" si="0"/>
        <v>Thu</v>
      </c>
      <c r="C17" s="10">
        <f>SUMIFS('Teams Sessions'!$H$2:$H$4,'Teams Sessions'!$A$2:$A$4,A17)</f>
        <v>0</v>
      </c>
      <c r="D17" s="10">
        <f>COUNTIFS(Communications!$A$2:$A$13,A17,Communications!$C$2:$C$13,"Email",Communications!$H$2:$H$13,"Author*")*'Time Spent'!$I$5</f>
        <v>0</v>
      </c>
      <c r="E17" s="10">
        <f>IF('Time Spent'!$I$2="Best case",N17,K17)</f>
        <v>0</v>
      </c>
      <c r="F17" s="10">
        <f>IF('Time Spent'!$I$2="Best case",P17,M17)</f>
        <v>0</v>
      </c>
      <c r="G17" s="10">
        <f>IF('Time Spent'!$I$1="Yes",SUMIFS(Meetings!$G$2:$G$8,Meetings!$D$2:$D$8,"Unconfirmed*",Meetings!$A$2:$A$8,A17),0)</f>
        <v>0</v>
      </c>
      <c r="H17" s="10">
        <f t="shared" si="1"/>
        <v>0</v>
      </c>
      <c r="I17" s="11">
        <f t="shared" si="2"/>
        <v>0</v>
      </c>
      <c r="K17" s="10">
        <f>SUMIFS(Meetings!$K$2:$K$8,Meetings!$A$2:$A$8,A17)</f>
        <v>0</v>
      </c>
      <c r="L17" s="10">
        <f>SUMIFS(Meetings!$M$2:$M$8,Meetings!$A$2:$A$8,A17)</f>
        <v>0</v>
      </c>
      <c r="M17" s="10">
        <f>IF(L17&gt;0,MAX(0,'Time Spent'!$I$7-K17),0)</f>
        <v>0</v>
      </c>
      <c r="N17" s="10">
        <f>SUMIFS(Meetings!$L$2:$L$8,Meetings!$A$2:$A$8,A17)</f>
        <v>0</v>
      </c>
      <c r="O17" s="10">
        <f>SUMIFS(Meetings!$N$2:$N$8,Meetings!$A$2:$A$8,A17)</f>
        <v>0</v>
      </c>
      <c r="P17" s="10">
        <f>IF(O17&gt;0,MAX(0,'Time Spent'!$I$7-N17),0)</f>
        <v>0</v>
      </c>
    </row>
    <row r="18" spans="1:16" x14ac:dyDescent="0.25">
      <c r="A18" s="24">
        <v>46220</v>
      </c>
      <c r="B18" s="5" t="str">
        <f t="shared" si="0"/>
        <v>Fri</v>
      </c>
      <c r="C18" s="10">
        <f>SUMIFS('Teams Sessions'!$H$2:$H$4,'Teams Sessions'!$A$2:$A$4,A18)</f>
        <v>0</v>
      </c>
      <c r="D18" s="10">
        <f>COUNTIFS(Communications!$A$2:$A$13,A18,Communications!$C$2:$C$13,"Email",Communications!$H$2:$H$13,"Author*")*'Time Spent'!$I$5</f>
        <v>0</v>
      </c>
      <c r="E18" s="10">
        <f>IF('Time Spent'!$I$2="Best case",N18,K18)</f>
        <v>0</v>
      </c>
      <c r="F18" s="10">
        <f>IF('Time Spent'!$I$2="Best case",P18,M18)</f>
        <v>0</v>
      </c>
      <c r="G18" s="10">
        <f>IF('Time Spent'!$I$1="Yes",SUMIFS(Meetings!$G$2:$G$8,Meetings!$D$2:$D$8,"Unconfirmed*",Meetings!$A$2:$A$8,A18),0)</f>
        <v>0</v>
      </c>
      <c r="H18" s="10">
        <f t="shared" si="1"/>
        <v>0</v>
      </c>
      <c r="I18" s="11">
        <f t="shared" si="2"/>
        <v>0</v>
      </c>
      <c r="K18" s="10">
        <f>SUMIFS(Meetings!$K$2:$K$8,Meetings!$A$2:$A$8,A18)</f>
        <v>0</v>
      </c>
      <c r="L18" s="10">
        <f>SUMIFS(Meetings!$M$2:$M$8,Meetings!$A$2:$A$8,A18)</f>
        <v>0</v>
      </c>
      <c r="M18" s="10">
        <f>IF(L18&gt;0,MAX(0,'Time Spent'!$I$7-K18),0)</f>
        <v>0</v>
      </c>
      <c r="N18" s="10">
        <f>SUMIFS(Meetings!$L$2:$L$8,Meetings!$A$2:$A$8,A18)</f>
        <v>0</v>
      </c>
      <c r="O18" s="10">
        <f>SUMIFS(Meetings!$N$2:$N$8,Meetings!$A$2:$A$8,A18)</f>
        <v>0</v>
      </c>
      <c r="P18" s="10">
        <f>IF(O18&gt;0,MAX(0,'Time Spent'!$I$7-N18),0)</f>
        <v>0</v>
      </c>
    </row>
    <row r="19" spans="1:16" x14ac:dyDescent="0.25">
      <c r="A19" s="24">
        <v>46221</v>
      </c>
      <c r="B19" s="5" t="str">
        <f t="shared" si="0"/>
        <v>Sat</v>
      </c>
      <c r="C19" s="10">
        <f>SUMIFS('Teams Sessions'!$H$2:$H$4,'Teams Sessions'!$A$2:$A$4,A19)</f>
        <v>0</v>
      </c>
      <c r="D19" s="10">
        <f>COUNTIFS(Communications!$A$2:$A$13,A19,Communications!$C$2:$C$13,"Email",Communications!$H$2:$H$13,"Author*")*'Time Spent'!$I$5</f>
        <v>0</v>
      </c>
      <c r="E19" s="10">
        <f>IF('Time Spent'!$I$2="Best case",N19,K19)</f>
        <v>0</v>
      </c>
      <c r="F19" s="10">
        <f>IF('Time Spent'!$I$2="Best case",P19,M19)</f>
        <v>0</v>
      </c>
      <c r="G19" s="10">
        <f>IF('Time Spent'!$I$1="Yes",SUMIFS(Meetings!$G$2:$G$8,Meetings!$D$2:$D$8,"Unconfirmed*",Meetings!$A$2:$A$8,A19),0)</f>
        <v>0</v>
      </c>
      <c r="H19" s="10">
        <f t="shared" si="1"/>
        <v>0</v>
      </c>
      <c r="I19" s="11">
        <f t="shared" si="2"/>
        <v>0</v>
      </c>
      <c r="K19" s="10">
        <f>SUMIFS(Meetings!$K$2:$K$8,Meetings!$A$2:$A$8,A19)</f>
        <v>0</v>
      </c>
      <c r="L19" s="10">
        <f>SUMIFS(Meetings!$M$2:$M$8,Meetings!$A$2:$A$8,A19)</f>
        <v>0</v>
      </c>
      <c r="M19" s="10">
        <f>IF(L19&gt;0,MAX(0,'Time Spent'!$I$7-K19),0)</f>
        <v>0</v>
      </c>
      <c r="N19" s="10">
        <f>SUMIFS(Meetings!$L$2:$L$8,Meetings!$A$2:$A$8,A19)</f>
        <v>0</v>
      </c>
      <c r="O19" s="10">
        <f>SUMIFS(Meetings!$N$2:$N$8,Meetings!$A$2:$A$8,A19)</f>
        <v>0</v>
      </c>
      <c r="P19" s="10">
        <f>IF(O19&gt;0,MAX(0,'Time Spent'!$I$7-N19),0)</f>
        <v>0</v>
      </c>
    </row>
    <row r="20" spans="1:16" x14ac:dyDescent="0.25">
      <c r="A20" s="24">
        <v>46222</v>
      </c>
      <c r="B20" s="5" t="str">
        <f t="shared" si="0"/>
        <v>Sun</v>
      </c>
      <c r="C20" s="10">
        <f>SUMIFS('Teams Sessions'!$H$2:$H$4,'Teams Sessions'!$A$2:$A$4,A20)</f>
        <v>0</v>
      </c>
      <c r="D20" s="10">
        <f>COUNTIFS(Communications!$A$2:$A$13,A20,Communications!$C$2:$C$13,"Email",Communications!$H$2:$H$13,"Author*")*'Time Spent'!$I$5</f>
        <v>0</v>
      </c>
      <c r="E20" s="10">
        <f>IF('Time Spent'!$I$2="Best case",N20,K20)</f>
        <v>0</v>
      </c>
      <c r="F20" s="10">
        <f>IF('Time Spent'!$I$2="Best case",P20,M20)</f>
        <v>0</v>
      </c>
      <c r="G20" s="10">
        <f>IF('Time Spent'!$I$1="Yes",SUMIFS(Meetings!$G$2:$G$8,Meetings!$D$2:$D$8,"Unconfirmed*",Meetings!$A$2:$A$8,A20),0)</f>
        <v>0</v>
      </c>
      <c r="H20" s="10">
        <f t="shared" si="1"/>
        <v>0</v>
      </c>
      <c r="I20" s="11">
        <f t="shared" si="2"/>
        <v>0</v>
      </c>
      <c r="K20" s="10">
        <f>SUMIFS(Meetings!$K$2:$K$8,Meetings!$A$2:$A$8,A20)</f>
        <v>0</v>
      </c>
      <c r="L20" s="10">
        <f>SUMIFS(Meetings!$M$2:$M$8,Meetings!$A$2:$A$8,A20)</f>
        <v>0</v>
      </c>
      <c r="M20" s="10">
        <f>IF(L20&gt;0,MAX(0,'Time Spent'!$I$7-K20),0)</f>
        <v>0</v>
      </c>
      <c r="N20" s="10">
        <f>SUMIFS(Meetings!$L$2:$L$8,Meetings!$A$2:$A$8,A20)</f>
        <v>0</v>
      </c>
      <c r="O20" s="10">
        <f>SUMIFS(Meetings!$N$2:$N$8,Meetings!$A$2:$A$8,A20)</f>
        <v>0</v>
      </c>
      <c r="P20" s="10">
        <f>IF(O20&gt;0,MAX(0,'Time Spent'!$I$7-N20),0)</f>
        <v>0</v>
      </c>
    </row>
    <row r="21" spans="1:16" x14ac:dyDescent="0.25">
      <c r="A21" s="24">
        <v>46223</v>
      </c>
      <c r="B21" s="5" t="str">
        <f t="shared" si="0"/>
        <v>Mon</v>
      </c>
      <c r="C21" s="10">
        <f>SUMIFS('Teams Sessions'!$H$2:$H$4,'Teams Sessions'!$A$2:$A$4,A21)</f>
        <v>0</v>
      </c>
      <c r="D21" s="10">
        <f>COUNTIFS(Communications!$A$2:$A$13,A21,Communications!$C$2:$C$13,"Email",Communications!$H$2:$H$13,"Author*")*'Time Spent'!$I$5</f>
        <v>0</v>
      </c>
      <c r="E21" s="10">
        <f>IF('Time Spent'!$I$2="Best case",N21,K21)</f>
        <v>0</v>
      </c>
      <c r="F21" s="10">
        <f>IF('Time Spent'!$I$2="Best case",P21,M21)</f>
        <v>0</v>
      </c>
      <c r="G21" s="10">
        <f>IF('Time Spent'!$I$1="Yes",SUMIFS(Meetings!$G$2:$G$8,Meetings!$D$2:$D$8,"Unconfirmed*",Meetings!$A$2:$A$8,A21),0)</f>
        <v>0</v>
      </c>
      <c r="H21" s="10">
        <f t="shared" si="1"/>
        <v>0</v>
      </c>
      <c r="I21" s="11">
        <f t="shared" si="2"/>
        <v>0</v>
      </c>
      <c r="K21" s="10">
        <f>SUMIFS(Meetings!$K$2:$K$8,Meetings!$A$2:$A$8,A21)</f>
        <v>0</v>
      </c>
      <c r="L21" s="10">
        <f>SUMIFS(Meetings!$M$2:$M$8,Meetings!$A$2:$A$8,A21)</f>
        <v>0</v>
      </c>
      <c r="M21" s="10">
        <f>IF(L21&gt;0,MAX(0,'Time Spent'!$I$7-K21),0)</f>
        <v>0</v>
      </c>
      <c r="N21" s="10">
        <f>SUMIFS(Meetings!$L$2:$L$8,Meetings!$A$2:$A$8,A21)</f>
        <v>0</v>
      </c>
      <c r="O21" s="10">
        <f>SUMIFS(Meetings!$N$2:$N$8,Meetings!$A$2:$A$8,A21)</f>
        <v>0</v>
      </c>
      <c r="P21" s="10">
        <f>IF(O21&gt;0,MAX(0,'Time Spent'!$I$7-N21),0)</f>
        <v>0</v>
      </c>
    </row>
    <row r="22" spans="1:16" x14ac:dyDescent="0.25">
      <c r="A22" s="24">
        <v>46224</v>
      </c>
      <c r="B22" s="5" t="str">
        <f t="shared" si="0"/>
        <v>Tue</v>
      </c>
      <c r="C22" s="10">
        <f>SUMIFS('Teams Sessions'!$H$2:$H$4,'Teams Sessions'!$A$2:$A$4,A22)</f>
        <v>0</v>
      </c>
      <c r="D22" s="10">
        <f>COUNTIFS(Communications!$A$2:$A$13,A22,Communications!$C$2:$C$13,"Email",Communications!$H$2:$H$13,"Author*")*'Time Spent'!$I$5</f>
        <v>0</v>
      </c>
      <c r="E22" s="10">
        <f>IF('Time Spent'!$I$2="Best case",N22,K22)</f>
        <v>0</v>
      </c>
      <c r="F22" s="10">
        <f>IF('Time Spent'!$I$2="Best case",P22,M22)</f>
        <v>0</v>
      </c>
      <c r="G22" s="10">
        <f>IF('Time Spent'!$I$1="Yes",SUMIFS(Meetings!$G$2:$G$8,Meetings!$D$2:$D$8,"Unconfirmed*",Meetings!$A$2:$A$8,A22),0)</f>
        <v>0</v>
      </c>
      <c r="H22" s="10">
        <f t="shared" si="1"/>
        <v>0</v>
      </c>
      <c r="I22" s="11">
        <f t="shared" si="2"/>
        <v>0</v>
      </c>
      <c r="K22" s="10">
        <f>SUMIFS(Meetings!$K$2:$K$8,Meetings!$A$2:$A$8,A22)</f>
        <v>0</v>
      </c>
      <c r="L22" s="10">
        <f>SUMIFS(Meetings!$M$2:$M$8,Meetings!$A$2:$A$8,A22)</f>
        <v>0</v>
      </c>
      <c r="M22" s="10">
        <f>IF(L22&gt;0,MAX(0,'Time Spent'!$I$7-K22),0)</f>
        <v>0</v>
      </c>
      <c r="N22" s="10">
        <f>SUMIFS(Meetings!$L$2:$L$8,Meetings!$A$2:$A$8,A22)</f>
        <v>0</v>
      </c>
      <c r="O22" s="10">
        <f>SUMIFS(Meetings!$N$2:$N$8,Meetings!$A$2:$A$8,A22)</f>
        <v>0</v>
      </c>
      <c r="P22" s="10">
        <f>IF(O22&gt;0,MAX(0,'Time Spent'!$I$7-N22),0)</f>
        <v>0</v>
      </c>
    </row>
    <row r="23" spans="1:16" x14ac:dyDescent="0.25">
      <c r="A23" s="24">
        <v>46225</v>
      </c>
      <c r="B23" s="5" t="str">
        <f t="shared" si="0"/>
        <v>Wed</v>
      </c>
      <c r="C23" s="10">
        <f>SUMIFS('Teams Sessions'!$H$2:$H$4,'Teams Sessions'!$A$2:$A$4,A23)</f>
        <v>0</v>
      </c>
      <c r="D23" s="10">
        <f>COUNTIFS(Communications!$A$2:$A$13,A23,Communications!$C$2:$C$13,"Email",Communications!$H$2:$H$13,"Author*")*'Time Spent'!$I$5</f>
        <v>0</v>
      </c>
      <c r="E23" s="10">
        <f>IF('Time Spent'!$I$2="Best case",N23,K23)</f>
        <v>0</v>
      </c>
      <c r="F23" s="10">
        <f>IF('Time Spent'!$I$2="Best case",P23,M23)</f>
        <v>0</v>
      </c>
      <c r="G23" s="10">
        <f>IF('Time Spent'!$I$1="Yes",SUMIFS(Meetings!$G$2:$G$8,Meetings!$D$2:$D$8,"Unconfirmed*",Meetings!$A$2:$A$8,A23),0)</f>
        <v>0</v>
      </c>
      <c r="H23" s="10">
        <f t="shared" si="1"/>
        <v>0</v>
      </c>
      <c r="I23" s="11">
        <f t="shared" si="2"/>
        <v>0</v>
      </c>
      <c r="K23" s="10">
        <f>SUMIFS(Meetings!$K$2:$K$8,Meetings!$A$2:$A$8,A23)</f>
        <v>0</v>
      </c>
      <c r="L23" s="10">
        <f>SUMIFS(Meetings!$M$2:$M$8,Meetings!$A$2:$A$8,A23)</f>
        <v>0</v>
      </c>
      <c r="M23" s="10">
        <f>IF(L23&gt;0,MAX(0,'Time Spent'!$I$7-K23),0)</f>
        <v>0</v>
      </c>
      <c r="N23" s="10">
        <f>SUMIFS(Meetings!$L$2:$L$8,Meetings!$A$2:$A$8,A23)</f>
        <v>0</v>
      </c>
      <c r="O23" s="10">
        <f>SUMIFS(Meetings!$N$2:$N$8,Meetings!$A$2:$A$8,A23)</f>
        <v>0</v>
      </c>
      <c r="P23" s="10">
        <f>IF(O23&gt;0,MAX(0,'Time Spent'!$I$7-N23),0)</f>
        <v>0</v>
      </c>
    </row>
    <row r="24" spans="1:16" x14ac:dyDescent="0.25">
      <c r="A24" s="24">
        <v>46226</v>
      </c>
      <c r="B24" s="5" t="str">
        <f t="shared" si="0"/>
        <v>Thu</v>
      </c>
      <c r="C24" s="10">
        <f>SUMIFS('Teams Sessions'!$H$2:$H$4,'Teams Sessions'!$A$2:$A$4,A24)</f>
        <v>0</v>
      </c>
      <c r="D24" s="10">
        <f>COUNTIFS(Communications!$A$2:$A$13,A24,Communications!$C$2:$C$13,"Email",Communications!$H$2:$H$13,"Author*")*'Time Spent'!$I$5</f>
        <v>0</v>
      </c>
      <c r="E24" s="10">
        <f>IF('Time Spent'!$I$2="Best case",N24,K24)</f>
        <v>0</v>
      </c>
      <c r="F24" s="10">
        <f>IF('Time Spent'!$I$2="Best case",P24,M24)</f>
        <v>0</v>
      </c>
      <c r="G24" s="10">
        <f>IF('Time Spent'!$I$1="Yes",SUMIFS(Meetings!$G$2:$G$8,Meetings!$D$2:$D$8,"Unconfirmed*",Meetings!$A$2:$A$8,A24),0)</f>
        <v>0</v>
      </c>
      <c r="H24" s="10">
        <f t="shared" si="1"/>
        <v>0</v>
      </c>
      <c r="I24" s="11">
        <f t="shared" si="2"/>
        <v>0</v>
      </c>
      <c r="K24" s="10">
        <f>SUMIFS(Meetings!$K$2:$K$8,Meetings!$A$2:$A$8,A24)</f>
        <v>0</v>
      </c>
      <c r="L24" s="10">
        <f>SUMIFS(Meetings!$M$2:$M$8,Meetings!$A$2:$A$8,A24)</f>
        <v>0</v>
      </c>
      <c r="M24" s="10">
        <f>IF(L24&gt;0,MAX(0,'Time Spent'!$I$7-K24),0)</f>
        <v>0</v>
      </c>
      <c r="N24" s="10">
        <f>SUMIFS(Meetings!$L$2:$L$8,Meetings!$A$2:$A$8,A24)</f>
        <v>0</v>
      </c>
      <c r="O24" s="10">
        <f>SUMIFS(Meetings!$N$2:$N$8,Meetings!$A$2:$A$8,A24)</f>
        <v>0</v>
      </c>
      <c r="P24" s="10">
        <f>IF(O24&gt;0,MAX(0,'Time Spent'!$I$7-N24),0)</f>
        <v>0</v>
      </c>
    </row>
    <row r="25" spans="1:16" x14ac:dyDescent="0.25">
      <c r="A25" s="24">
        <v>46227</v>
      </c>
      <c r="B25" s="5" t="str">
        <f t="shared" si="0"/>
        <v>Fri</v>
      </c>
      <c r="C25" s="10">
        <f>SUMIFS('Teams Sessions'!$H$2:$H$4,'Teams Sessions'!$A$2:$A$4,A25)</f>
        <v>0</v>
      </c>
      <c r="D25" s="10">
        <f>COUNTIFS(Communications!$A$2:$A$13,A25,Communications!$C$2:$C$13,"Email",Communications!$H$2:$H$13,"Author*")*'Time Spent'!$I$5</f>
        <v>0</v>
      </c>
      <c r="E25" s="10">
        <f>IF('Time Spent'!$I$2="Best case",N25,K25)</f>
        <v>0</v>
      </c>
      <c r="F25" s="10">
        <f>IF('Time Spent'!$I$2="Best case",P25,M25)</f>
        <v>0</v>
      </c>
      <c r="G25" s="10">
        <f>IF('Time Spent'!$I$1="Yes",SUMIFS(Meetings!$G$2:$G$8,Meetings!$D$2:$D$8,"Unconfirmed*",Meetings!$A$2:$A$8,A25),0)</f>
        <v>0</v>
      </c>
      <c r="H25" s="10">
        <f t="shared" si="1"/>
        <v>0</v>
      </c>
      <c r="I25" s="11">
        <f t="shared" si="2"/>
        <v>0</v>
      </c>
      <c r="K25" s="10">
        <f>SUMIFS(Meetings!$K$2:$K$8,Meetings!$A$2:$A$8,A25)</f>
        <v>0</v>
      </c>
      <c r="L25" s="10">
        <f>SUMIFS(Meetings!$M$2:$M$8,Meetings!$A$2:$A$8,A25)</f>
        <v>0</v>
      </c>
      <c r="M25" s="10">
        <f>IF(L25&gt;0,MAX(0,'Time Spent'!$I$7-K25),0)</f>
        <v>0</v>
      </c>
      <c r="N25" s="10">
        <f>SUMIFS(Meetings!$L$2:$L$8,Meetings!$A$2:$A$8,A25)</f>
        <v>0</v>
      </c>
      <c r="O25" s="10">
        <f>SUMIFS(Meetings!$N$2:$N$8,Meetings!$A$2:$A$8,A25)</f>
        <v>0</v>
      </c>
      <c r="P25" s="10">
        <f>IF(O25&gt;0,MAX(0,'Time Spent'!$I$7-N25),0)</f>
        <v>0</v>
      </c>
    </row>
    <row r="26" spans="1:16" x14ac:dyDescent="0.25">
      <c r="A26" s="24">
        <v>46228</v>
      </c>
      <c r="B26" s="5" t="str">
        <f t="shared" si="0"/>
        <v>Sat</v>
      </c>
      <c r="C26" s="10">
        <f>SUMIFS('Teams Sessions'!$H$2:$H$4,'Teams Sessions'!$A$2:$A$4,A26)</f>
        <v>0</v>
      </c>
      <c r="D26" s="10">
        <f>COUNTIFS(Communications!$A$2:$A$13,A26,Communications!$C$2:$C$13,"Email",Communications!$H$2:$H$13,"Author*")*'Time Spent'!$I$5</f>
        <v>0</v>
      </c>
      <c r="E26" s="10">
        <f>IF('Time Spent'!$I$2="Best case",N26,K26)</f>
        <v>0</v>
      </c>
      <c r="F26" s="10">
        <f>IF('Time Spent'!$I$2="Best case",P26,M26)</f>
        <v>0</v>
      </c>
      <c r="G26" s="10">
        <f>IF('Time Spent'!$I$1="Yes",SUMIFS(Meetings!$G$2:$G$8,Meetings!$D$2:$D$8,"Unconfirmed*",Meetings!$A$2:$A$8,A26),0)</f>
        <v>0</v>
      </c>
      <c r="H26" s="10">
        <f t="shared" si="1"/>
        <v>0</v>
      </c>
      <c r="I26" s="11">
        <f t="shared" si="2"/>
        <v>0</v>
      </c>
      <c r="K26" s="10">
        <f>SUMIFS(Meetings!$K$2:$K$8,Meetings!$A$2:$A$8,A26)</f>
        <v>0</v>
      </c>
      <c r="L26" s="10">
        <f>SUMIFS(Meetings!$M$2:$M$8,Meetings!$A$2:$A$8,A26)</f>
        <v>0</v>
      </c>
      <c r="M26" s="10">
        <f>IF(L26&gt;0,MAX(0,'Time Spent'!$I$7-K26),0)</f>
        <v>0</v>
      </c>
      <c r="N26" s="10">
        <f>SUMIFS(Meetings!$L$2:$L$8,Meetings!$A$2:$A$8,A26)</f>
        <v>0</v>
      </c>
      <c r="O26" s="10">
        <f>SUMIFS(Meetings!$N$2:$N$8,Meetings!$A$2:$A$8,A26)</f>
        <v>0</v>
      </c>
      <c r="P26" s="10">
        <f>IF(O26&gt;0,MAX(0,'Time Spent'!$I$7-N26),0)</f>
        <v>0</v>
      </c>
    </row>
    <row r="27" spans="1:16" x14ac:dyDescent="0.25">
      <c r="A27" s="24">
        <v>46229</v>
      </c>
      <c r="B27" s="5" t="str">
        <f t="shared" si="0"/>
        <v>Sun</v>
      </c>
      <c r="C27" s="10">
        <f>SUMIFS('Teams Sessions'!$H$2:$H$4,'Teams Sessions'!$A$2:$A$4,A27)</f>
        <v>0</v>
      </c>
      <c r="D27" s="10">
        <f>COUNTIFS(Communications!$A$2:$A$13,A27,Communications!$C$2:$C$13,"Email",Communications!$H$2:$H$13,"Author*")*'Time Spent'!$I$5</f>
        <v>0</v>
      </c>
      <c r="E27" s="10">
        <f>IF('Time Spent'!$I$2="Best case",N27,K27)</f>
        <v>0</v>
      </c>
      <c r="F27" s="10">
        <f>IF('Time Spent'!$I$2="Best case",P27,M27)</f>
        <v>0</v>
      </c>
      <c r="G27" s="10">
        <f>IF('Time Spent'!$I$1="Yes",SUMIFS(Meetings!$G$2:$G$8,Meetings!$D$2:$D$8,"Unconfirmed*",Meetings!$A$2:$A$8,A27),0)</f>
        <v>0</v>
      </c>
      <c r="H27" s="10">
        <f t="shared" si="1"/>
        <v>0</v>
      </c>
      <c r="I27" s="11">
        <f t="shared" si="2"/>
        <v>0</v>
      </c>
      <c r="K27" s="10">
        <f>SUMIFS(Meetings!$K$2:$K$8,Meetings!$A$2:$A$8,A27)</f>
        <v>0</v>
      </c>
      <c r="L27" s="10">
        <f>SUMIFS(Meetings!$M$2:$M$8,Meetings!$A$2:$A$8,A27)</f>
        <v>0</v>
      </c>
      <c r="M27" s="10">
        <f>IF(L27&gt;0,MAX(0,'Time Spent'!$I$7-K27),0)</f>
        <v>0</v>
      </c>
      <c r="N27" s="10">
        <f>SUMIFS(Meetings!$L$2:$L$8,Meetings!$A$2:$A$8,A27)</f>
        <v>0</v>
      </c>
      <c r="O27" s="10">
        <f>SUMIFS(Meetings!$N$2:$N$8,Meetings!$A$2:$A$8,A27)</f>
        <v>0</v>
      </c>
      <c r="P27" s="10">
        <f>IF(O27&gt;0,MAX(0,'Time Spent'!$I$7-N27),0)</f>
        <v>0</v>
      </c>
    </row>
    <row r="28" spans="1:16" x14ac:dyDescent="0.25">
      <c r="A28" s="24">
        <v>46230</v>
      </c>
      <c r="B28" s="5" t="str">
        <f t="shared" si="0"/>
        <v>Mon</v>
      </c>
      <c r="C28" s="10">
        <f>SUMIFS('Teams Sessions'!$H$2:$H$4,'Teams Sessions'!$A$2:$A$4,A28)</f>
        <v>0</v>
      </c>
      <c r="D28" s="10">
        <f>COUNTIFS(Communications!$A$2:$A$13,A28,Communications!$C$2:$C$13,"Email",Communications!$H$2:$H$13,"Author*")*'Time Spent'!$I$5</f>
        <v>0</v>
      </c>
      <c r="E28" s="10">
        <f>IF('Time Spent'!$I$2="Best case",N28,K28)</f>
        <v>0</v>
      </c>
      <c r="F28" s="10">
        <f>IF('Time Spent'!$I$2="Best case",P28,M28)</f>
        <v>0</v>
      </c>
      <c r="G28" s="10">
        <f>IF('Time Spent'!$I$1="Yes",SUMIFS(Meetings!$G$2:$G$8,Meetings!$D$2:$D$8,"Unconfirmed*",Meetings!$A$2:$A$8,A28),0)</f>
        <v>0</v>
      </c>
      <c r="H28" s="10">
        <f t="shared" si="1"/>
        <v>0</v>
      </c>
      <c r="I28" s="11">
        <f t="shared" si="2"/>
        <v>0</v>
      </c>
      <c r="K28" s="10">
        <f>SUMIFS(Meetings!$K$2:$K$8,Meetings!$A$2:$A$8,A28)</f>
        <v>0</v>
      </c>
      <c r="L28" s="10">
        <f>SUMIFS(Meetings!$M$2:$M$8,Meetings!$A$2:$A$8,A28)</f>
        <v>0</v>
      </c>
      <c r="M28" s="10">
        <f>IF(L28&gt;0,MAX(0,'Time Spent'!$I$7-K28),0)</f>
        <v>0</v>
      </c>
      <c r="N28" s="10">
        <f>SUMIFS(Meetings!$L$2:$L$8,Meetings!$A$2:$A$8,A28)</f>
        <v>0</v>
      </c>
      <c r="O28" s="10">
        <f>SUMIFS(Meetings!$N$2:$N$8,Meetings!$A$2:$A$8,A28)</f>
        <v>0</v>
      </c>
      <c r="P28" s="10">
        <f>IF(O28&gt;0,MAX(0,'Time Spent'!$I$7-N28),0)</f>
        <v>0</v>
      </c>
    </row>
    <row r="29" spans="1:16" x14ac:dyDescent="0.25">
      <c r="A29" s="24">
        <v>46231</v>
      </c>
      <c r="B29" s="5" t="str">
        <f t="shared" si="0"/>
        <v>Tue</v>
      </c>
      <c r="C29" s="10">
        <f>SUMIFS('Teams Sessions'!$H$2:$H$4,'Teams Sessions'!$A$2:$A$4,A29)</f>
        <v>0</v>
      </c>
      <c r="D29" s="10">
        <f>COUNTIFS(Communications!$A$2:$A$13,A29,Communications!$C$2:$C$13,"Email",Communications!$H$2:$H$13,"Author*")*'Time Spent'!$I$5</f>
        <v>0</v>
      </c>
      <c r="E29" s="10">
        <f>IF('Time Spent'!$I$2="Best case",N29,K29)</f>
        <v>0</v>
      </c>
      <c r="F29" s="10">
        <f>IF('Time Spent'!$I$2="Best case",P29,M29)</f>
        <v>0</v>
      </c>
      <c r="G29" s="10">
        <f>IF('Time Spent'!$I$1="Yes",SUMIFS(Meetings!$G$2:$G$8,Meetings!$D$2:$D$8,"Unconfirmed*",Meetings!$A$2:$A$8,A29),0)</f>
        <v>0</v>
      </c>
      <c r="H29" s="10">
        <f t="shared" si="1"/>
        <v>0</v>
      </c>
      <c r="I29" s="11">
        <f t="shared" si="2"/>
        <v>0</v>
      </c>
      <c r="K29" s="10">
        <f>SUMIFS(Meetings!$K$2:$K$8,Meetings!$A$2:$A$8,A29)</f>
        <v>0</v>
      </c>
      <c r="L29" s="10">
        <f>SUMIFS(Meetings!$M$2:$M$8,Meetings!$A$2:$A$8,A29)</f>
        <v>0</v>
      </c>
      <c r="M29" s="10">
        <f>IF(L29&gt;0,MAX(0,'Time Spent'!$I$7-K29),0)</f>
        <v>0</v>
      </c>
      <c r="N29" s="10">
        <f>SUMIFS(Meetings!$L$2:$L$8,Meetings!$A$2:$A$8,A29)</f>
        <v>0</v>
      </c>
      <c r="O29" s="10">
        <f>SUMIFS(Meetings!$N$2:$N$8,Meetings!$A$2:$A$8,A29)</f>
        <v>0</v>
      </c>
      <c r="P29" s="10">
        <f>IF(O29&gt;0,MAX(0,'Time Spent'!$I$7-N29),0)</f>
        <v>0</v>
      </c>
    </row>
    <row r="30" spans="1:16" x14ac:dyDescent="0.25">
      <c r="A30" s="24">
        <v>46232</v>
      </c>
      <c r="B30" s="5" t="str">
        <f t="shared" si="0"/>
        <v>Wed</v>
      </c>
      <c r="C30" s="10">
        <f>SUMIFS('Teams Sessions'!$H$2:$H$4,'Teams Sessions'!$A$2:$A$4,A30)</f>
        <v>0</v>
      </c>
      <c r="D30" s="10">
        <f>COUNTIFS(Communications!$A$2:$A$13,A30,Communications!$C$2:$C$13,"Email",Communications!$H$2:$H$13,"Author*")*'Time Spent'!$I$5</f>
        <v>0</v>
      </c>
      <c r="E30" s="10">
        <f>IF('Time Spent'!$I$2="Best case",N30,K30)</f>
        <v>0</v>
      </c>
      <c r="F30" s="10">
        <f>IF('Time Spent'!$I$2="Best case",P30,M30)</f>
        <v>0</v>
      </c>
      <c r="G30" s="10">
        <f>IF('Time Spent'!$I$1="Yes",SUMIFS(Meetings!$G$2:$G$8,Meetings!$D$2:$D$8,"Unconfirmed*",Meetings!$A$2:$A$8,A30),0)</f>
        <v>0</v>
      </c>
      <c r="H30" s="10">
        <f t="shared" si="1"/>
        <v>0</v>
      </c>
      <c r="I30" s="11">
        <f t="shared" si="2"/>
        <v>0</v>
      </c>
      <c r="K30" s="10">
        <f>SUMIFS(Meetings!$K$2:$K$8,Meetings!$A$2:$A$8,A30)</f>
        <v>0</v>
      </c>
      <c r="L30" s="10">
        <f>SUMIFS(Meetings!$M$2:$M$8,Meetings!$A$2:$A$8,A30)</f>
        <v>0</v>
      </c>
      <c r="M30" s="10">
        <f>IF(L30&gt;0,MAX(0,'Time Spent'!$I$7-K30),0)</f>
        <v>0</v>
      </c>
      <c r="N30" s="10">
        <f>SUMIFS(Meetings!$L$2:$L$8,Meetings!$A$2:$A$8,A30)</f>
        <v>0</v>
      </c>
      <c r="O30" s="10">
        <f>SUMIFS(Meetings!$N$2:$N$8,Meetings!$A$2:$A$8,A30)</f>
        <v>0</v>
      </c>
      <c r="P30" s="10">
        <f>IF(O30&gt;0,MAX(0,'Time Spent'!$I$7-N30),0)</f>
        <v>0</v>
      </c>
    </row>
    <row r="31" spans="1:16" x14ac:dyDescent="0.25">
      <c r="A31" s="24">
        <v>46233</v>
      </c>
      <c r="B31" s="5" t="str">
        <f t="shared" si="0"/>
        <v>Thu</v>
      </c>
      <c r="C31" s="10">
        <f>SUMIFS('Teams Sessions'!$H$2:$H$4,'Teams Sessions'!$A$2:$A$4,A31)</f>
        <v>0</v>
      </c>
      <c r="D31" s="10">
        <f>COUNTIFS(Communications!$A$2:$A$13,A31,Communications!$C$2:$C$13,"Email",Communications!$H$2:$H$13,"Author*")*'Time Spent'!$I$5</f>
        <v>0</v>
      </c>
      <c r="E31" s="10">
        <f>IF('Time Spent'!$I$2="Best case",N31,K31)</f>
        <v>0</v>
      </c>
      <c r="F31" s="10">
        <f>IF('Time Spent'!$I$2="Best case",P31,M31)</f>
        <v>0</v>
      </c>
      <c r="G31" s="10">
        <f>IF('Time Spent'!$I$1="Yes",SUMIFS(Meetings!$G$2:$G$8,Meetings!$D$2:$D$8,"Unconfirmed*",Meetings!$A$2:$A$8,A31),0)</f>
        <v>0</v>
      </c>
      <c r="H31" s="10">
        <f t="shared" si="1"/>
        <v>0</v>
      </c>
      <c r="I31" s="11">
        <f t="shared" si="2"/>
        <v>0</v>
      </c>
      <c r="K31" s="10">
        <f>SUMIFS(Meetings!$K$2:$K$8,Meetings!$A$2:$A$8,A31)</f>
        <v>0</v>
      </c>
      <c r="L31" s="10">
        <f>SUMIFS(Meetings!$M$2:$M$8,Meetings!$A$2:$A$8,A31)</f>
        <v>0</v>
      </c>
      <c r="M31" s="10">
        <f>IF(L31&gt;0,MAX(0,'Time Spent'!$I$7-K31),0)</f>
        <v>0</v>
      </c>
      <c r="N31" s="10">
        <f>SUMIFS(Meetings!$L$2:$L$8,Meetings!$A$2:$A$8,A31)</f>
        <v>0</v>
      </c>
      <c r="O31" s="10">
        <f>SUMIFS(Meetings!$N$2:$N$8,Meetings!$A$2:$A$8,A31)</f>
        <v>0</v>
      </c>
      <c r="P31" s="10">
        <f>IF(O31&gt;0,MAX(0,'Time Spent'!$I$7-N31),0)</f>
        <v>0</v>
      </c>
    </row>
    <row r="32" spans="1:16" x14ac:dyDescent="0.25">
      <c r="A32" s="24">
        <v>46234</v>
      </c>
      <c r="B32" s="5" t="str">
        <f t="shared" si="0"/>
        <v>Fri</v>
      </c>
      <c r="C32" s="10">
        <f>SUMIFS('Teams Sessions'!$H$2:$H$4,'Teams Sessions'!$A$2:$A$4,A32)</f>
        <v>0</v>
      </c>
      <c r="D32" s="10">
        <f>COUNTIFS(Communications!$A$2:$A$13,A32,Communications!$C$2:$C$13,"Email",Communications!$H$2:$H$13,"Author*")*'Time Spent'!$I$5</f>
        <v>0</v>
      </c>
      <c r="E32" s="10">
        <f>IF('Time Spent'!$I$2="Best case",N32,K32)</f>
        <v>0</v>
      </c>
      <c r="F32" s="10">
        <f>IF('Time Spent'!$I$2="Best case",P32,M32)</f>
        <v>0</v>
      </c>
      <c r="G32" s="10">
        <f>IF('Time Spent'!$I$1="Yes",SUMIFS(Meetings!$G$2:$G$8,Meetings!$D$2:$D$8,"Unconfirmed*",Meetings!$A$2:$A$8,A32),0)</f>
        <v>0</v>
      </c>
      <c r="H32" s="10">
        <f t="shared" si="1"/>
        <v>0</v>
      </c>
      <c r="I32" s="11">
        <f t="shared" si="2"/>
        <v>0</v>
      </c>
      <c r="K32" s="10">
        <f>SUMIFS(Meetings!$K$2:$K$8,Meetings!$A$2:$A$8,A32)</f>
        <v>0</v>
      </c>
      <c r="L32" s="10">
        <f>SUMIFS(Meetings!$M$2:$M$8,Meetings!$A$2:$A$8,A32)</f>
        <v>0</v>
      </c>
      <c r="M32" s="10">
        <f>IF(L32&gt;0,MAX(0,'Time Spent'!$I$7-K32),0)</f>
        <v>0</v>
      </c>
      <c r="N32" s="10">
        <f>SUMIFS(Meetings!$L$2:$L$8,Meetings!$A$2:$A$8,A32)</f>
        <v>0</v>
      </c>
      <c r="O32" s="10">
        <f>SUMIFS(Meetings!$N$2:$N$8,Meetings!$A$2:$A$8,A32)</f>
        <v>0</v>
      </c>
      <c r="P32" s="10">
        <f>IF(O32&gt;0,MAX(0,'Time Spent'!$I$7-N32),0)</f>
        <v>0</v>
      </c>
    </row>
    <row r="33" spans="1:9" x14ac:dyDescent="0.25">
      <c r="A33" s="7" t="s">
        <v>83</v>
      </c>
      <c r="C33" s="13">
        <f t="shared" ref="C33:I33" si="3">SUM(C2:C32)</f>
        <v>60</v>
      </c>
      <c r="D33" s="13">
        <f t="shared" si="3"/>
        <v>15</v>
      </c>
      <c r="E33" s="13">
        <f t="shared" si="3"/>
        <v>45</v>
      </c>
      <c r="F33" s="13">
        <f t="shared" si="3"/>
        <v>675</v>
      </c>
      <c r="G33" s="13">
        <f t="shared" si="3"/>
        <v>0</v>
      </c>
      <c r="H33" s="13">
        <f t="shared" si="3"/>
        <v>795</v>
      </c>
      <c r="I33" s="6">
        <f t="shared" si="3"/>
        <v>13.25</v>
      </c>
    </row>
    <row r="34" spans="1:9" x14ac:dyDescent="0.25">
      <c r="A34" s="7" t="s">
        <v>84</v>
      </c>
      <c r="H34" s="7">
        <f>IF('Time Spent'!$I$2="Best case",'Time Spent'!D9,'Time Spent'!D7)</f>
        <v>795</v>
      </c>
      <c r="I34" s="7" t="str">
        <f>IF(ROUND(H33-H34,0)=0,"ties","MISMATCH")</f>
        <v>ties</v>
      </c>
    </row>
    <row r="36" spans="1:9" x14ac:dyDescent="0.25">
      <c r="A36" s="12" t="s">
        <v>85</v>
      </c>
    </row>
  </sheetData>
  <hyperlinks>
    <hyperlink ref="A2" location="'Day Detail'!A2" display="2026-07-01 00:00:00" xr:uid="{00000000-0004-0000-0300-000000000000}"/>
    <hyperlink ref="A3" location="'Day Detail'!A5" display="2026-07-02 00:00:00" xr:uid="{00000000-0004-0000-0300-000001000000}"/>
    <hyperlink ref="A7" location="'Day Detail'!A7" display="2026-07-06 00:00:00" xr:uid="{00000000-0004-0000-0300-000002000000}"/>
    <hyperlink ref="A9" location="'Day Detail'!A10" display="2026-07-08 00:00:00" xr:uid="{00000000-0004-0000-0300-000003000000}"/>
    <hyperlink ref="A10" location="'Day Detail'!A12" display="2026-07-09 00:00:00" xr:uid="{00000000-0004-0000-0300-000004000000}"/>
    <hyperlink ref="A14" location="'Day Detail'!A13" display="2026-07-13 00:00:00" xr:uid="{00000000-0004-0000-0300-000005000000}"/>
    <hyperlink ref="A16" location="'Day Detail'!A14" display="2026-07-15 00:00:00" xr:uid="{00000000-0004-0000-0300-000006000000}"/>
  </hyperlinks>
  <pageMargins left="0.75" right="0.75" top="1" bottom="1" header="0.5" footer="0.5"/>
  <headerFooter>
    <oddFooter>&amp;LCompleteTech LLC · Innovation at Every Integration · complete.tech&amp;RPage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E3A8A"/>
  </sheetPr>
  <dimension ref="A1:M20"/>
  <sheetViews>
    <sheetView workbookViewId="0">
      <pane ySplit="1" topLeftCell="A2" activePane="bottomLeft" state="frozen"/>
      <selection pane="bottomLeft"/>
    </sheetView>
  </sheetViews>
  <sheetFormatPr defaultRowHeight="15" x14ac:dyDescent="0.25"/>
  <cols>
    <col min="1" max="1" width="11" customWidth="1"/>
    <col min="2" max="2" width="6" customWidth="1"/>
    <col min="3" max="3" width="20" customWidth="1"/>
    <col min="4" max="4" width="90" customWidth="1"/>
    <col min="5" max="6" width="8" customWidth="1"/>
    <col min="7" max="7" width="14" customWidth="1"/>
    <col min="8" max="8" width="12" customWidth="1"/>
    <col min="9" max="9" width="11" customWidth="1"/>
    <col min="10" max="10" width="12" customWidth="1"/>
    <col min="11" max="11" width="18" customWidth="1"/>
    <col min="13" max="13" width="22" customWidth="1"/>
  </cols>
  <sheetData>
    <row r="1" spans="1:13" ht="25.5" x14ac:dyDescent="0.25">
      <c r="A1" s="8" t="s">
        <v>75</v>
      </c>
      <c r="B1" s="8" t="s">
        <v>76</v>
      </c>
      <c r="C1" s="8" t="s">
        <v>86</v>
      </c>
      <c r="D1" s="8" t="s">
        <v>87</v>
      </c>
      <c r="E1" s="8" t="s">
        <v>88</v>
      </c>
      <c r="F1" s="8" t="s">
        <v>89</v>
      </c>
      <c r="G1" s="8" t="s">
        <v>90</v>
      </c>
      <c r="H1" s="8" t="s">
        <v>91</v>
      </c>
      <c r="I1" s="8" t="s">
        <v>92</v>
      </c>
      <c r="J1" s="8" t="s">
        <v>93</v>
      </c>
      <c r="K1" s="8" t="s">
        <v>94</v>
      </c>
      <c r="M1" s="25" t="s">
        <v>95</v>
      </c>
    </row>
    <row r="2" spans="1:13" x14ac:dyDescent="0.25">
      <c r="A2" s="26">
        <v>46204</v>
      </c>
      <c r="B2" s="27" t="str">
        <f t="shared" ref="B2:B16" si="0">TEXT(A2,"ddd")</f>
        <v>Wed</v>
      </c>
      <c r="C2" s="27" t="s">
        <v>96</v>
      </c>
      <c r="D2" s="27" t="s">
        <v>97</v>
      </c>
      <c r="E2" s="28">
        <v>0.37847222222222221</v>
      </c>
      <c r="F2" s="28">
        <v>0.3888888888888889</v>
      </c>
      <c r="G2" s="29">
        <f>'Teams Sessions'!H2</f>
        <v>30</v>
      </c>
      <c r="H2" s="30">
        <f t="shared" ref="H2:H17" si="1">G2/60</f>
        <v>0.5</v>
      </c>
      <c r="I2" s="31" t="str">
        <f t="shared" ref="I2:I16" si="2">TEXT(G2/1440,"h:mm")</f>
        <v>0:30</v>
      </c>
      <c r="J2" s="32">
        <f t="shared" ref="J2:J16" si="3">SUMIFS($G$2:$G$16,$A$2:$A$16,A2)/60</f>
        <v>4.5</v>
      </c>
      <c r="K2" s="25" t="s">
        <v>98</v>
      </c>
    </row>
    <row r="3" spans="1:13" x14ac:dyDescent="0.25">
      <c r="A3" s="26">
        <v>46204</v>
      </c>
      <c r="B3" s="27" t="str">
        <f t="shared" si="0"/>
        <v>Wed</v>
      </c>
      <c r="C3" s="27" t="s">
        <v>99</v>
      </c>
      <c r="D3" s="27" t="s">
        <v>100</v>
      </c>
      <c r="E3" s="28">
        <v>0.54166666666666663</v>
      </c>
      <c r="F3" s="28">
        <v>0.58333333333333337</v>
      </c>
      <c r="G3" s="29">
        <f>IF('Time Spent'!$I$2="Best case",Meetings!L2,Meetings!K2)</f>
        <v>0</v>
      </c>
      <c r="H3" s="30">
        <f t="shared" si="1"/>
        <v>0</v>
      </c>
      <c r="I3" s="31" t="str">
        <f t="shared" si="2"/>
        <v>0:00</v>
      </c>
      <c r="J3" s="32">
        <f t="shared" si="3"/>
        <v>4.5</v>
      </c>
      <c r="K3" s="25" t="s">
        <v>101</v>
      </c>
    </row>
    <row r="4" spans="1:13" x14ac:dyDescent="0.25">
      <c r="A4" s="26">
        <v>46204</v>
      </c>
      <c r="B4" s="27" t="str">
        <f t="shared" si="0"/>
        <v>Wed</v>
      </c>
      <c r="C4" s="27" t="s">
        <v>102</v>
      </c>
      <c r="D4" s="27" t="s">
        <v>103</v>
      </c>
      <c r="E4" s="28"/>
      <c r="F4" s="28"/>
      <c r="G4" s="29">
        <f>'Daily Time'!F2</f>
        <v>240</v>
      </c>
      <c r="H4" s="30">
        <f t="shared" si="1"/>
        <v>4</v>
      </c>
      <c r="I4" s="31" t="str">
        <f t="shared" si="2"/>
        <v>4:00</v>
      </c>
      <c r="J4" s="32">
        <f t="shared" si="3"/>
        <v>4.5</v>
      </c>
      <c r="K4" s="25" t="s">
        <v>104</v>
      </c>
    </row>
    <row r="5" spans="1:13" x14ac:dyDescent="0.25">
      <c r="A5" s="26">
        <v>46205</v>
      </c>
      <c r="B5" s="27" t="str">
        <f t="shared" si="0"/>
        <v>Thu</v>
      </c>
      <c r="C5" s="27" t="s">
        <v>105</v>
      </c>
      <c r="D5" s="27" t="s">
        <v>106</v>
      </c>
      <c r="E5" s="28"/>
      <c r="F5" s="28"/>
      <c r="G5" s="29">
        <f>'Time Spent'!$I$5</f>
        <v>15</v>
      </c>
      <c r="H5" s="30">
        <f t="shared" si="1"/>
        <v>0.25</v>
      </c>
      <c r="I5" s="31" t="str">
        <f t="shared" si="2"/>
        <v>0:15</v>
      </c>
      <c r="J5" s="32">
        <f t="shared" si="3"/>
        <v>0.25</v>
      </c>
      <c r="K5" s="25" t="s">
        <v>107</v>
      </c>
    </row>
    <row r="6" spans="1:13" x14ac:dyDescent="0.25">
      <c r="A6" s="26">
        <v>46205</v>
      </c>
      <c r="B6" s="27" t="str">
        <f t="shared" si="0"/>
        <v>Thu</v>
      </c>
      <c r="C6" s="27" t="s">
        <v>108</v>
      </c>
      <c r="D6" s="27" t="s">
        <v>109</v>
      </c>
      <c r="E6" s="28">
        <v>0.70833333333333337</v>
      </c>
      <c r="F6" s="28">
        <v>0.75</v>
      </c>
      <c r="G6" s="29">
        <f>IF('Time Spent'!$I$1="Yes",Meetings!G3,0)</f>
        <v>0</v>
      </c>
      <c r="H6" s="30">
        <f t="shared" si="1"/>
        <v>0</v>
      </c>
      <c r="I6" s="31" t="str">
        <f t="shared" si="2"/>
        <v>0:00</v>
      </c>
      <c r="J6" s="32">
        <f t="shared" si="3"/>
        <v>0.25</v>
      </c>
      <c r="K6" s="25" t="s">
        <v>101</v>
      </c>
    </row>
    <row r="7" spans="1:13" x14ac:dyDescent="0.25">
      <c r="A7" s="26">
        <v>46209</v>
      </c>
      <c r="B7" s="27" t="str">
        <f t="shared" si="0"/>
        <v>Mon</v>
      </c>
      <c r="C7" s="27" t="s">
        <v>96</v>
      </c>
      <c r="D7" s="27" t="s">
        <v>110</v>
      </c>
      <c r="E7" s="28">
        <v>0.41666666666666669</v>
      </c>
      <c r="F7" s="28">
        <v>0.41805555555555562</v>
      </c>
      <c r="G7" s="29">
        <f>'Teams Sessions'!H3</f>
        <v>15</v>
      </c>
      <c r="H7" s="30">
        <f t="shared" si="1"/>
        <v>0.25</v>
      </c>
      <c r="I7" s="31" t="str">
        <f t="shared" si="2"/>
        <v>0:15</v>
      </c>
      <c r="J7" s="32">
        <f t="shared" si="3"/>
        <v>4.25</v>
      </c>
      <c r="K7" s="25" t="s">
        <v>98</v>
      </c>
    </row>
    <row r="8" spans="1:13" x14ac:dyDescent="0.25">
      <c r="A8" s="26">
        <v>46209</v>
      </c>
      <c r="B8" s="27" t="str">
        <f t="shared" si="0"/>
        <v>Mon</v>
      </c>
      <c r="C8" s="27" t="s">
        <v>99</v>
      </c>
      <c r="D8" s="27" t="s">
        <v>111</v>
      </c>
      <c r="E8" s="28">
        <v>0.54166666666666663</v>
      </c>
      <c r="F8" s="28">
        <v>0.5625</v>
      </c>
      <c r="G8" s="29">
        <f>IF('Time Spent'!$I$2="Best case",Meetings!L4,Meetings!K4)</f>
        <v>0</v>
      </c>
      <c r="H8" s="30">
        <f t="shared" si="1"/>
        <v>0</v>
      </c>
      <c r="I8" s="31" t="str">
        <f t="shared" si="2"/>
        <v>0:00</v>
      </c>
      <c r="J8" s="32">
        <f t="shared" si="3"/>
        <v>4.25</v>
      </c>
      <c r="K8" s="25" t="s">
        <v>101</v>
      </c>
    </row>
    <row r="9" spans="1:13" x14ac:dyDescent="0.25">
      <c r="A9" s="26">
        <v>46209</v>
      </c>
      <c r="B9" s="27" t="str">
        <f t="shared" si="0"/>
        <v>Mon</v>
      </c>
      <c r="C9" s="27" t="s">
        <v>102</v>
      </c>
      <c r="D9" s="27" t="s">
        <v>103</v>
      </c>
      <c r="E9" s="28"/>
      <c r="F9" s="28"/>
      <c r="G9" s="29">
        <f>'Daily Time'!F7</f>
        <v>240</v>
      </c>
      <c r="H9" s="30">
        <f t="shared" si="1"/>
        <v>4</v>
      </c>
      <c r="I9" s="31" t="str">
        <f t="shared" si="2"/>
        <v>4:00</v>
      </c>
      <c r="J9" s="32">
        <f t="shared" si="3"/>
        <v>4.25</v>
      </c>
      <c r="K9" s="25" t="s">
        <v>104</v>
      </c>
    </row>
    <row r="10" spans="1:13" x14ac:dyDescent="0.25">
      <c r="A10" s="26">
        <v>46211</v>
      </c>
      <c r="B10" s="27" t="str">
        <f t="shared" si="0"/>
        <v>Wed</v>
      </c>
      <c r="C10" s="27" t="s">
        <v>99</v>
      </c>
      <c r="D10" s="27" t="s">
        <v>112</v>
      </c>
      <c r="E10" s="28">
        <v>0.54166666666666663</v>
      </c>
      <c r="F10" s="28">
        <v>0.58333333333333337</v>
      </c>
      <c r="G10" s="29">
        <f>IF('Time Spent'!$I$2="Best case",Meetings!L5,Meetings!K5)</f>
        <v>0</v>
      </c>
      <c r="H10" s="30">
        <f t="shared" si="1"/>
        <v>0</v>
      </c>
      <c r="I10" s="31" t="str">
        <f t="shared" si="2"/>
        <v>0:00</v>
      </c>
      <c r="J10" s="32">
        <f t="shared" si="3"/>
        <v>0</v>
      </c>
      <c r="K10" s="25" t="s">
        <v>101</v>
      </c>
    </row>
    <row r="11" spans="1:13" x14ac:dyDescent="0.25">
      <c r="A11" s="26">
        <v>46211</v>
      </c>
      <c r="B11" s="27" t="str">
        <f t="shared" si="0"/>
        <v>Wed</v>
      </c>
      <c r="C11" s="27" t="s">
        <v>102</v>
      </c>
      <c r="D11" s="27" t="s">
        <v>103</v>
      </c>
      <c r="E11" s="28"/>
      <c r="F11" s="28"/>
      <c r="G11" s="29">
        <f>'Daily Time'!F9</f>
        <v>0</v>
      </c>
      <c r="H11" s="30">
        <f t="shared" si="1"/>
        <v>0</v>
      </c>
      <c r="I11" s="31" t="str">
        <f t="shared" si="2"/>
        <v>0:00</v>
      </c>
      <c r="J11" s="32">
        <f t="shared" si="3"/>
        <v>0</v>
      </c>
      <c r="K11" s="25" t="s">
        <v>104</v>
      </c>
    </row>
    <row r="12" spans="1:13" x14ac:dyDescent="0.25">
      <c r="A12" s="26">
        <v>46212</v>
      </c>
      <c r="B12" s="27" t="str">
        <f t="shared" si="0"/>
        <v>Thu</v>
      </c>
      <c r="C12" s="27" t="s">
        <v>108</v>
      </c>
      <c r="D12" s="27" t="s">
        <v>109</v>
      </c>
      <c r="E12" s="28">
        <v>0.70833333333333337</v>
      </c>
      <c r="F12" s="28">
        <v>0.75</v>
      </c>
      <c r="G12" s="29">
        <f>IF('Time Spent'!$I$1="Yes",Meetings!G6,0)</f>
        <v>0</v>
      </c>
      <c r="H12" s="30">
        <f t="shared" si="1"/>
        <v>0</v>
      </c>
      <c r="I12" s="31" t="str">
        <f t="shared" si="2"/>
        <v>0:00</v>
      </c>
      <c r="J12" s="32">
        <f t="shared" si="3"/>
        <v>0</v>
      </c>
      <c r="K12" s="25" t="s">
        <v>101</v>
      </c>
    </row>
    <row r="13" spans="1:13" x14ac:dyDescent="0.25">
      <c r="A13" s="26">
        <v>46216</v>
      </c>
      <c r="B13" s="27" t="str">
        <f t="shared" si="0"/>
        <v>Mon</v>
      </c>
      <c r="C13" s="27" t="s">
        <v>99</v>
      </c>
      <c r="D13" s="27" t="s">
        <v>113</v>
      </c>
      <c r="E13" s="28">
        <v>0.54166666666666663</v>
      </c>
      <c r="F13" s="28">
        <v>0.5625</v>
      </c>
      <c r="G13" s="29">
        <f>IF('Time Spent'!$I$2="Best case",Meetings!L7,Meetings!K7)</f>
        <v>0</v>
      </c>
      <c r="H13" s="30">
        <f t="shared" si="1"/>
        <v>0</v>
      </c>
      <c r="I13" s="31" t="str">
        <f t="shared" si="2"/>
        <v>0:00</v>
      </c>
      <c r="J13" s="32">
        <f t="shared" si="3"/>
        <v>0</v>
      </c>
      <c r="K13" s="25" t="s">
        <v>101</v>
      </c>
    </row>
    <row r="14" spans="1:13" x14ac:dyDescent="0.25">
      <c r="A14" s="26">
        <v>46218</v>
      </c>
      <c r="B14" s="27" t="str">
        <f t="shared" si="0"/>
        <v>Wed</v>
      </c>
      <c r="C14" s="27" t="s">
        <v>96</v>
      </c>
      <c r="D14" s="27" t="s">
        <v>114</v>
      </c>
      <c r="E14" s="28">
        <v>0.54027777777777775</v>
      </c>
      <c r="F14" s="28">
        <v>0.54236111111111107</v>
      </c>
      <c r="G14" s="29">
        <f>'Teams Sessions'!H4</f>
        <v>15</v>
      </c>
      <c r="H14" s="30">
        <f t="shared" si="1"/>
        <v>0.25</v>
      </c>
      <c r="I14" s="31" t="str">
        <f t="shared" si="2"/>
        <v>0:15</v>
      </c>
      <c r="J14" s="32">
        <f t="shared" si="3"/>
        <v>4.25</v>
      </c>
      <c r="K14" s="25" t="s">
        <v>98</v>
      </c>
    </row>
    <row r="15" spans="1:13" x14ac:dyDescent="0.25">
      <c r="A15" s="26">
        <v>46218</v>
      </c>
      <c r="B15" s="27" t="str">
        <f t="shared" si="0"/>
        <v>Wed</v>
      </c>
      <c r="C15" s="27" t="s">
        <v>99</v>
      </c>
      <c r="D15" s="27" t="s">
        <v>115</v>
      </c>
      <c r="E15" s="28">
        <v>0.54166666666666663</v>
      </c>
      <c r="F15" s="28">
        <v>0.58333333333333337</v>
      </c>
      <c r="G15" s="29">
        <f>IF('Time Spent'!$I$2="Best case",Meetings!L8,Meetings!K8)</f>
        <v>45</v>
      </c>
      <c r="H15" s="30">
        <f t="shared" si="1"/>
        <v>0.75</v>
      </c>
      <c r="I15" s="31" t="str">
        <f t="shared" si="2"/>
        <v>0:45</v>
      </c>
      <c r="J15" s="32">
        <f t="shared" si="3"/>
        <v>4.25</v>
      </c>
      <c r="K15" s="25" t="s">
        <v>101</v>
      </c>
    </row>
    <row r="16" spans="1:13" x14ac:dyDescent="0.25">
      <c r="A16" s="26">
        <v>46218</v>
      </c>
      <c r="B16" s="27" t="str">
        <f t="shared" si="0"/>
        <v>Wed</v>
      </c>
      <c r="C16" s="27" t="s">
        <v>102</v>
      </c>
      <c r="D16" s="27" t="s">
        <v>103</v>
      </c>
      <c r="E16" s="28"/>
      <c r="F16" s="28"/>
      <c r="G16" s="29">
        <f>'Daily Time'!F16</f>
        <v>195</v>
      </c>
      <c r="H16" s="30">
        <f t="shared" si="1"/>
        <v>3.25</v>
      </c>
      <c r="I16" s="31" t="str">
        <f t="shared" si="2"/>
        <v>3:15</v>
      </c>
      <c r="J16" s="32">
        <f t="shared" si="3"/>
        <v>4.25</v>
      </c>
      <c r="K16" s="25" t="s">
        <v>104</v>
      </c>
    </row>
    <row r="17" spans="1:11" x14ac:dyDescent="0.25">
      <c r="A17" s="7" t="s">
        <v>83</v>
      </c>
      <c r="G17" s="13">
        <f>SUM(G2:G16)</f>
        <v>795</v>
      </c>
      <c r="H17" s="32">
        <f t="shared" si="1"/>
        <v>13.25</v>
      </c>
      <c r="I17" s="33" t="str">
        <f>INT(G17/60)&amp;":"&amp;TEXT(MOD(G17,60),"00")</f>
        <v>13:15</v>
      </c>
    </row>
    <row r="18" spans="1:11" x14ac:dyDescent="0.25">
      <c r="A18" s="7" t="s">
        <v>116</v>
      </c>
      <c r="G18" s="7">
        <f>'Daily Time'!H33</f>
        <v>795</v>
      </c>
      <c r="K18" s="7" t="str">
        <f>IF(ROUND(G17-G18,0)=0,"ties","MISMATCH")</f>
        <v>ties</v>
      </c>
    </row>
    <row r="20" spans="1:11" x14ac:dyDescent="0.25">
      <c r="A20" s="12" t="s">
        <v>117</v>
      </c>
    </row>
  </sheetData>
  <autoFilter ref="A1:K16" xr:uid="{00000000-0009-0000-0000-000004000000}"/>
  <hyperlinks>
    <hyperlink ref="M1" location="'Calendar View'!B1" display="Back to Calendar View" xr:uid="{00000000-0004-0000-0400-000000000000}"/>
    <hyperlink ref="K2" location="'Teams Messages'!A2" display="Teams Messages row" xr:uid="{00000000-0004-0000-0400-000001000000}"/>
    <hyperlink ref="K3" location="'Meetings'!A2" display="Meetings row" xr:uid="{00000000-0004-0000-0400-000002000000}"/>
    <hyperlink ref="K4" location="'Daily Time'!A2" display="Daily Time row" xr:uid="{00000000-0004-0000-0400-000003000000}"/>
    <hyperlink ref="K5" location="'Communications'!A6" display="Communications row" xr:uid="{00000000-0004-0000-0400-000004000000}"/>
    <hyperlink ref="K6" location="'Meetings'!A3" display="Meetings row" xr:uid="{00000000-0004-0000-0400-000005000000}"/>
    <hyperlink ref="K7" location="'Teams Messages'!A5" display="Teams Messages row" xr:uid="{00000000-0004-0000-0400-000006000000}"/>
    <hyperlink ref="K8" location="'Meetings'!A4" display="Meetings row" xr:uid="{00000000-0004-0000-0400-000007000000}"/>
    <hyperlink ref="K9" location="'Daily Time'!A7" display="Daily Time row" xr:uid="{00000000-0004-0000-0400-000008000000}"/>
    <hyperlink ref="K10" location="'Meetings'!A5" display="Meetings row" xr:uid="{00000000-0004-0000-0400-000009000000}"/>
    <hyperlink ref="K11" location="'Daily Time'!A9" display="Daily Time row" xr:uid="{00000000-0004-0000-0400-00000A000000}"/>
    <hyperlink ref="K12" location="'Meetings'!A6" display="Meetings row" xr:uid="{00000000-0004-0000-0400-00000B000000}"/>
    <hyperlink ref="K13" location="'Meetings'!A7" display="Meetings row" xr:uid="{00000000-0004-0000-0400-00000C000000}"/>
    <hyperlink ref="K14" location="'Teams Messages'!A8" display="Teams Messages row" xr:uid="{00000000-0004-0000-0400-00000D000000}"/>
    <hyperlink ref="K15" location="'Meetings'!A8" display="Meetings row" xr:uid="{00000000-0004-0000-0400-00000E000000}"/>
    <hyperlink ref="K16" location="'Daily Time'!A16" display="Daily Time row" xr:uid="{00000000-0004-0000-0400-00000F000000}"/>
  </hyperlinks>
  <pageMargins left="0.75" right="0.75" top="1" bottom="1" header="0.5" footer="0.5"/>
  <headerFooter>
    <oddFooter>&amp;LCompleteTech LLC · Innovation at Every Integration · complete.tech&amp;RPage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E3A8A"/>
  </sheetPr>
  <dimension ref="A1:O11"/>
  <sheetViews>
    <sheetView workbookViewId="0">
      <pane ySplit="1" topLeftCell="A2" activePane="bottomLeft" state="frozen"/>
      <selection pane="bottomLeft"/>
    </sheetView>
  </sheetViews>
  <sheetFormatPr defaultRowHeight="15" x14ac:dyDescent="0.25"/>
  <cols>
    <col min="1" max="1" width="11" customWidth="1"/>
    <col min="2" max="2" width="6" customWidth="1"/>
    <col min="3" max="3" width="52" customWidth="1"/>
    <col min="4" max="4" width="24" customWidth="1"/>
    <col min="5" max="6" width="11" customWidth="1"/>
    <col min="7" max="7" width="10" customWidth="1"/>
    <col min="8" max="8" width="34" customWidth="1"/>
    <col min="9" max="9" width="12" customWidth="1"/>
    <col min="10" max="10" width="80" customWidth="1"/>
    <col min="11" max="11" width="13" customWidth="1"/>
    <col min="12" max="14" width="14" customWidth="1"/>
    <col min="15" max="15" width="12" customWidth="1"/>
  </cols>
  <sheetData>
    <row r="1" spans="1:15" ht="38.25" x14ac:dyDescent="0.25">
      <c r="A1" s="8" t="s">
        <v>75</v>
      </c>
      <c r="B1" s="8" t="s">
        <v>76</v>
      </c>
      <c r="C1" s="8" t="s">
        <v>99</v>
      </c>
      <c r="D1" s="8" t="s">
        <v>118</v>
      </c>
      <c r="E1" s="8" t="s">
        <v>119</v>
      </c>
      <c r="F1" s="8" t="s">
        <v>120</v>
      </c>
      <c r="G1" s="8" t="s">
        <v>121</v>
      </c>
      <c r="H1" s="8" t="s">
        <v>122</v>
      </c>
      <c r="I1" s="8" t="s">
        <v>123</v>
      </c>
      <c r="J1" s="8" t="s">
        <v>124</v>
      </c>
      <c r="K1" s="8" t="s">
        <v>125</v>
      </c>
      <c r="L1" s="8" t="s">
        <v>126</v>
      </c>
      <c r="M1" s="8" t="s">
        <v>127</v>
      </c>
      <c r="N1" s="8" t="s">
        <v>128</v>
      </c>
      <c r="O1" s="8" t="s">
        <v>129</v>
      </c>
    </row>
    <row r="2" spans="1:15" x14ac:dyDescent="0.25">
      <c r="A2" s="26">
        <v>46204</v>
      </c>
      <c r="B2" s="27" t="str">
        <f t="shared" ref="B2:B8" si="0">TEXT(A2,"ddd")</f>
        <v>Wed</v>
      </c>
      <c r="C2" s="27" t="s">
        <v>130</v>
      </c>
      <c r="D2" s="27" t="s">
        <v>131</v>
      </c>
      <c r="E2" s="28">
        <v>0.54166666666666663</v>
      </c>
      <c r="F2" s="28">
        <v>0.58333333333333337</v>
      </c>
      <c r="G2" s="29">
        <f t="shared" ref="G2:G8" si="1">ROUND((F2-E2)*1440,0)</f>
        <v>60</v>
      </c>
      <c r="H2" s="27" t="s">
        <v>132</v>
      </c>
      <c r="I2" s="29"/>
      <c r="J2" s="27" t="s">
        <v>133</v>
      </c>
      <c r="K2" s="29">
        <f>IF(AND(D2="Northwind work",LEFT(H2,4)="Held",I2&lt;&gt;""),CEILING(MAX(I2,'Time Spent'!$I$3),'Time Spent'!$I$4),0)</f>
        <v>0</v>
      </c>
      <c r="L2" s="29">
        <f>IF(D2&lt;&gt;"Northwind work",0,IF(OR(H2="Cancelled",H2="Likely not held (chat)"),0,IF(I2&lt;&gt;"",CEILING(MAX(I2,'Time Spent'!$I$3),'Time Spent'!$I$4),CEILING(MAX(G2,'Time Spent'!$I$3),'Time Spent'!$I$4))))</f>
        <v>60</v>
      </c>
      <c r="M2" s="29">
        <f t="shared" ref="M2:M8" si="2">IF(AND(D2="Northwind work",LEFT(H2,4)="Held"),1,0)</f>
        <v>1</v>
      </c>
      <c r="N2" s="29">
        <f t="shared" ref="N2:N8" si="3">IF(L2&gt;0,1,0)</f>
        <v>1</v>
      </c>
      <c r="O2" s="29">
        <f>COUNTIFS('Teams Messages'!$A$2:$A$9,A2)</f>
        <v>3</v>
      </c>
    </row>
    <row r="3" spans="1:15" x14ac:dyDescent="0.25">
      <c r="A3" s="26">
        <v>46205</v>
      </c>
      <c r="B3" s="27" t="str">
        <f t="shared" si="0"/>
        <v>Thu</v>
      </c>
      <c r="C3" s="27" t="s">
        <v>134</v>
      </c>
      <c r="D3" s="27" t="s">
        <v>135</v>
      </c>
      <c r="E3" s="28">
        <v>0.70833333333333337</v>
      </c>
      <c r="F3" s="28">
        <v>0.75</v>
      </c>
      <c r="G3" s="29">
        <f t="shared" si="1"/>
        <v>60</v>
      </c>
      <c r="H3" s="27" t="s">
        <v>136</v>
      </c>
      <c r="I3" s="29"/>
      <c r="J3" s="27" t="s">
        <v>133</v>
      </c>
      <c r="K3" s="29">
        <f>IF(AND(D3="Northwind work",LEFT(H3,4)="Held",I3&lt;&gt;""),CEILING(MAX(I3,'Time Spent'!$I$3),'Time Spent'!$I$4),0)</f>
        <v>0</v>
      </c>
      <c r="L3" s="29">
        <f>IF(D3&lt;&gt;"Northwind work",0,IF(OR(H3="Cancelled",H3="Likely not held (chat)"),0,IF(I3&lt;&gt;"",CEILING(MAX(I3,'Time Spent'!$I$3),'Time Spent'!$I$4),CEILING(MAX(G3,'Time Spent'!$I$3),'Time Spent'!$I$4))))</f>
        <v>0</v>
      </c>
      <c r="M3" s="29">
        <f t="shared" si="2"/>
        <v>0</v>
      </c>
      <c r="N3" s="29">
        <f t="shared" si="3"/>
        <v>0</v>
      </c>
      <c r="O3" s="29">
        <f>COUNTIFS('Teams Messages'!$A$2:$A$9,A3)</f>
        <v>0</v>
      </c>
    </row>
    <row r="4" spans="1:15" x14ac:dyDescent="0.25">
      <c r="A4" s="26">
        <v>46209</v>
      </c>
      <c r="B4" s="27" t="str">
        <f t="shared" si="0"/>
        <v>Mon</v>
      </c>
      <c r="C4" s="27" t="s">
        <v>137</v>
      </c>
      <c r="D4" s="27" t="s">
        <v>131</v>
      </c>
      <c r="E4" s="28">
        <v>0.54166666666666663</v>
      </c>
      <c r="F4" s="28">
        <v>0.5625</v>
      </c>
      <c r="G4" s="29">
        <f t="shared" si="1"/>
        <v>30</v>
      </c>
      <c r="H4" s="27" t="s">
        <v>132</v>
      </c>
      <c r="I4" s="29"/>
      <c r="J4" s="27" t="s">
        <v>133</v>
      </c>
      <c r="K4" s="29">
        <f>IF(AND(D4="Northwind work",LEFT(H4,4)="Held",I4&lt;&gt;""),CEILING(MAX(I4,'Time Spent'!$I$3),'Time Spent'!$I$4),0)</f>
        <v>0</v>
      </c>
      <c r="L4" s="29">
        <f>IF(D4&lt;&gt;"Northwind work",0,IF(OR(H4="Cancelled",H4="Likely not held (chat)"),0,IF(I4&lt;&gt;"",CEILING(MAX(I4,'Time Spent'!$I$3),'Time Spent'!$I$4),CEILING(MAX(G4,'Time Spent'!$I$3),'Time Spent'!$I$4))))</f>
        <v>30</v>
      </c>
      <c r="M4" s="29">
        <f t="shared" si="2"/>
        <v>1</v>
      </c>
      <c r="N4" s="29">
        <f t="shared" si="3"/>
        <v>1</v>
      </c>
      <c r="O4" s="29">
        <f>COUNTIFS('Teams Messages'!$A$2:$A$9,A4)</f>
        <v>2</v>
      </c>
    </row>
    <row r="5" spans="1:15" x14ac:dyDescent="0.25">
      <c r="A5" s="26">
        <v>46211</v>
      </c>
      <c r="B5" s="27" t="str">
        <f t="shared" si="0"/>
        <v>Wed</v>
      </c>
      <c r="C5" s="27" t="s">
        <v>130</v>
      </c>
      <c r="D5" s="27" t="s">
        <v>131</v>
      </c>
      <c r="E5" s="28">
        <v>0.54166666666666663</v>
      </c>
      <c r="F5" s="28">
        <v>0.58333333333333337</v>
      </c>
      <c r="G5" s="29">
        <f t="shared" si="1"/>
        <v>60</v>
      </c>
      <c r="H5" s="27" t="s">
        <v>138</v>
      </c>
      <c r="I5" s="29"/>
      <c r="J5" s="27" t="s">
        <v>139</v>
      </c>
      <c r="K5" s="29">
        <f>IF(AND(D5="Northwind work",LEFT(H5,4)="Held",I5&lt;&gt;""),CEILING(MAX(I5,'Time Spent'!$I$3),'Time Spent'!$I$4),0)</f>
        <v>0</v>
      </c>
      <c r="L5" s="29">
        <f>IF(D5&lt;&gt;"Northwind work",0,IF(OR(H5="Cancelled",H5="Likely not held (chat)"),0,IF(I5&lt;&gt;"",CEILING(MAX(I5,'Time Spent'!$I$3),'Time Spent'!$I$4),CEILING(MAX(G5,'Time Spent'!$I$3),'Time Spent'!$I$4))))</f>
        <v>60</v>
      </c>
      <c r="M5" s="29">
        <f t="shared" si="2"/>
        <v>0</v>
      </c>
      <c r="N5" s="29">
        <f t="shared" si="3"/>
        <v>1</v>
      </c>
      <c r="O5" s="29">
        <f>COUNTIFS('Teams Messages'!$A$2:$A$9,A5)</f>
        <v>0</v>
      </c>
    </row>
    <row r="6" spans="1:15" x14ac:dyDescent="0.25">
      <c r="A6" s="26">
        <v>46212</v>
      </c>
      <c r="B6" s="27" t="str">
        <f t="shared" si="0"/>
        <v>Thu</v>
      </c>
      <c r="C6" s="27" t="s">
        <v>134</v>
      </c>
      <c r="D6" s="27" t="s">
        <v>135</v>
      </c>
      <c r="E6" s="28">
        <v>0.70833333333333337</v>
      </c>
      <c r="F6" s="28">
        <v>0.75</v>
      </c>
      <c r="G6" s="29">
        <f t="shared" si="1"/>
        <v>60</v>
      </c>
      <c r="H6" s="27" t="s">
        <v>136</v>
      </c>
      <c r="I6" s="29"/>
      <c r="J6" s="27" t="s">
        <v>133</v>
      </c>
      <c r="K6" s="29">
        <f>IF(AND(D6="Northwind work",LEFT(H6,4)="Held",I6&lt;&gt;""),CEILING(MAX(I6,'Time Spent'!$I$3),'Time Spent'!$I$4),0)</f>
        <v>0</v>
      </c>
      <c r="L6" s="29">
        <f>IF(D6&lt;&gt;"Northwind work",0,IF(OR(H6="Cancelled",H6="Likely not held (chat)"),0,IF(I6&lt;&gt;"",CEILING(MAX(I6,'Time Spent'!$I$3),'Time Spent'!$I$4),CEILING(MAX(G6,'Time Spent'!$I$3),'Time Spent'!$I$4))))</f>
        <v>0</v>
      </c>
      <c r="M6" s="29">
        <f t="shared" si="2"/>
        <v>0</v>
      </c>
      <c r="N6" s="29">
        <f t="shared" si="3"/>
        <v>0</v>
      </c>
      <c r="O6" s="29">
        <f>COUNTIFS('Teams Messages'!$A$2:$A$9,A6)</f>
        <v>1</v>
      </c>
    </row>
    <row r="7" spans="1:15" x14ac:dyDescent="0.25">
      <c r="A7" s="26">
        <v>46216</v>
      </c>
      <c r="B7" s="27" t="str">
        <f t="shared" si="0"/>
        <v>Mon</v>
      </c>
      <c r="C7" s="27" t="s">
        <v>137</v>
      </c>
      <c r="D7" s="27" t="s">
        <v>131</v>
      </c>
      <c r="E7" s="28">
        <v>0.54166666666666663</v>
      </c>
      <c r="F7" s="28">
        <v>0.5625</v>
      </c>
      <c r="G7" s="29">
        <f t="shared" si="1"/>
        <v>30</v>
      </c>
      <c r="H7" s="27" t="s">
        <v>140</v>
      </c>
      <c r="I7" s="29"/>
      <c r="J7" s="27" t="s">
        <v>141</v>
      </c>
      <c r="K7" s="29">
        <f>IF(AND(D7="Northwind work",LEFT(H7,4)="Held",I7&lt;&gt;""),CEILING(MAX(I7,'Time Spent'!$I$3),'Time Spent'!$I$4),0)</f>
        <v>0</v>
      </c>
      <c r="L7" s="29">
        <f>IF(D7&lt;&gt;"Northwind work",0,IF(OR(H7="Cancelled",H7="Likely not held (chat)"),0,IF(I7&lt;&gt;"",CEILING(MAX(I7,'Time Spent'!$I$3),'Time Spent'!$I$4),CEILING(MAX(G7,'Time Spent'!$I$3),'Time Spent'!$I$4))))</f>
        <v>0</v>
      </c>
      <c r="M7" s="29">
        <f t="shared" si="2"/>
        <v>0</v>
      </c>
      <c r="N7" s="29">
        <f t="shared" si="3"/>
        <v>0</v>
      </c>
      <c r="O7" s="29">
        <f>COUNTIFS('Teams Messages'!$A$2:$A$9,A7)</f>
        <v>0</v>
      </c>
    </row>
    <row r="8" spans="1:15" x14ac:dyDescent="0.25">
      <c r="A8" s="26">
        <v>46218</v>
      </c>
      <c r="B8" s="27" t="str">
        <f t="shared" si="0"/>
        <v>Wed</v>
      </c>
      <c r="C8" s="27" t="s">
        <v>130</v>
      </c>
      <c r="D8" s="27" t="s">
        <v>131</v>
      </c>
      <c r="E8" s="28">
        <v>0.54166666666666663</v>
      </c>
      <c r="F8" s="28">
        <v>0.58333333333333337</v>
      </c>
      <c r="G8" s="29">
        <f t="shared" si="1"/>
        <v>60</v>
      </c>
      <c r="H8" s="27" t="s">
        <v>142</v>
      </c>
      <c r="I8" s="34">
        <v>40</v>
      </c>
      <c r="J8" s="27" t="s">
        <v>143</v>
      </c>
      <c r="K8" s="29">
        <f>IF(AND(D8="Northwind work",LEFT(H8,4)="Held",I8&lt;&gt;""),CEILING(MAX(I8,'Time Spent'!$I$3),'Time Spent'!$I$4),0)</f>
        <v>45</v>
      </c>
      <c r="L8" s="29">
        <f>IF(D8&lt;&gt;"Northwind work",0,IF(OR(H8="Cancelled",H8="Likely not held (chat)"),0,IF(I8&lt;&gt;"",CEILING(MAX(I8,'Time Spent'!$I$3),'Time Spent'!$I$4),CEILING(MAX(G8,'Time Spent'!$I$3),'Time Spent'!$I$4))))</f>
        <v>45</v>
      </c>
      <c r="M8" s="29">
        <f t="shared" si="2"/>
        <v>1</v>
      </c>
      <c r="N8" s="29">
        <f t="shared" si="3"/>
        <v>1</v>
      </c>
      <c r="O8" s="29">
        <f>COUNTIFS('Teams Messages'!$A$2:$A$9,A8)</f>
        <v>2</v>
      </c>
    </row>
    <row r="10" spans="1:15" x14ac:dyDescent="0.25">
      <c r="C10" s="12" t="s">
        <v>144</v>
      </c>
    </row>
    <row r="11" spans="1:15" x14ac:dyDescent="0.25">
      <c r="C11" s="12" t="s">
        <v>145</v>
      </c>
    </row>
  </sheetData>
  <autoFilter ref="A1:O8" xr:uid="{00000000-0009-0000-0000-000005000000}"/>
  <pageMargins left="0.75" right="0.75" top="1" bottom="1" header="0.5" footer="0.5"/>
  <headerFooter>
    <oddFooter>&amp;LCompleteTech LLC · Innovation at Every Integration · complete.tech&amp;RPage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E3A8A"/>
  </sheetPr>
  <dimension ref="A1:K8"/>
  <sheetViews>
    <sheetView workbookViewId="0">
      <pane ySplit="1" topLeftCell="A2" activePane="bottomLeft" state="frozen"/>
      <selection pane="bottomLeft"/>
    </sheetView>
  </sheetViews>
  <sheetFormatPr defaultRowHeight="15" x14ac:dyDescent="0.25"/>
  <cols>
    <col min="1" max="1" width="11" customWidth="1"/>
    <col min="2" max="2" width="52" customWidth="1"/>
    <col min="3" max="4" width="8" customWidth="1"/>
    <col min="5" max="5" width="10" customWidth="1"/>
    <col min="6" max="6" width="12" customWidth="1"/>
    <col min="7" max="8" width="13" customWidth="1"/>
    <col min="9" max="9" width="18" customWidth="1"/>
    <col min="10" max="10" width="60" customWidth="1"/>
  </cols>
  <sheetData>
    <row r="1" spans="1:11" ht="25.5" x14ac:dyDescent="0.25">
      <c r="A1" s="8" t="s">
        <v>75</v>
      </c>
      <c r="B1" s="8" t="s">
        <v>146</v>
      </c>
      <c r="C1" s="8" t="s">
        <v>88</v>
      </c>
      <c r="D1" s="8" t="s">
        <v>89</v>
      </c>
      <c r="E1" s="8" t="s">
        <v>147</v>
      </c>
      <c r="F1" s="8" t="s">
        <v>148</v>
      </c>
      <c r="G1" s="8" t="s">
        <v>149</v>
      </c>
      <c r="H1" s="8" t="s">
        <v>150</v>
      </c>
      <c r="I1" s="4" t="s">
        <v>151</v>
      </c>
      <c r="J1" s="5" t="s">
        <v>152</v>
      </c>
      <c r="K1" s="5">
        <v>20</v>
      </c>
    </row>
    <row r="2" spans="1:11" x14ac:dyDescent="0.25">
      <c r="A2" s="24">
        <v>46204</v>
      </c>
      <c r="B2" s="5" t="s">
        <v>153</v>
      </c>
      <c r="C2" s="35">
        <v>0.37847222222222221</v>
      </c>
      <c r="D2" s="35">
        <v>0.3888888888888889</v>
      </c>
      <c r="E2" s="5">
        <v>3</v>
      </c>
      <c r="F2" s="5">
        <v>1</v>
      </c>
      <c r="G2" s="10">
        <f>ROUND((D2-C2)*1440,0)+$K$2</f>
        <v>17</v>
      </c>
      <c r="H2" s="10">
        <f>CEILING(MAX(G2,'Time Spent'!$I$3),'Time Spent'!$I$4)</f>
        <v>30</v>
      </c>
      <c r="I2" s="25" t="s">
        <v>154</v>
      </c>
      <c r="J2" s="5" t="s">
        <v>155</v>
      </c>
      <c r="K2" s="9">
        <v>2</v>
      </c>
    </row>
    <row r="3" spans="1:11" x14ac:dyDescent="0.25">
      <c r="A3" s="24">
        <v>46209</v>
      </c>
      <c r="B3" s="5" t="s">
        <v>153</v>
      </c>
      <c r="C3" s="35">
        <v>0.41666666666666669</v>
      </c>
      <c r="D3" s="35">
        <v>0.41805555555555562</v>
      </c>
      <c r="E3" s="5">
        <v>2</v>
      </c>
      <c r="F3" s="5">
        <v>1</v>
      </c>
      <c r="G3" s="10">
        <f>ROUND((D3-C3)*1440,0)+$K$2</f>
        <v>4</v>
      </c>
      <c r="H3" s="10">
        <f>CEILING(MAX(G3,'Time Spent'!$I$3),'Time Spent'!$I$4)</f>
        <v>15</v>
      </c>
      <c r="I3" s="25" t="s">
        <v>154</v>
      </c>
      <c r="J3" s="5" t="s">
        <v>156</v>
      </c>
    </row>
    <row r="4" spans="1:11" x14ac:dyDescent="0.25">
      <c r="A4" s="24">
        <v>46218</v>
      </c>
      <c r="B4" s="5" t="s">
        <v>130</v>
      </c>
      <c r="C4" s="35">
        <v>0.54027777777777775</v>
      </c>
      <c r="D4" s="35">
        <v>0.54236111111111107</v>
      </c>
      <c r="E4" s="5">
        <v>2</v>
      </c>
      <c r="F4" s="5">
        <v>1</v>
      </c>
      <c r="G4" s="10">
        <f>ROUND((D4-C4)*1440,0)+$K$2</f>
        <v>5</v>
      </c>
      <c r="H4" s="10">
        <f>CEILING(MAX(G4,'Time Spent'!$I$3),'Time Spent'!$I$4)</f>
        <v>15</v>
      </c>
      <c r="I4" s="25" t="s">
        <v>154</v>
      </c>
      <c r="J4" s="5" t="s">
        <v>157</v>
      </c>
    </row>
    <row r="6" spans="1:11" x14ac:dyDescent="0.25">
      <c r="A6" s="7" t="s">
        <v>83</v>
      </c>
      <c r="E6" s="7">
        <f>SUM(E2:E4)</f>
        <v>7</v>
      </c>
      <c r="F6" s="7">
        <f>SUM(F2:F4)</f>
        <v>3</v>
      </c>
      <c r="G6" s="7">
        <f>SUM(G2:G4)</f>
        <v>26</v>
      </c>
      <c r="H6" s="7">
        <f>SUM(H2:H4)</f>
        <v>60</v>
      </c>
    </row>
    <row r="8" spans="1:11" x14ac:dyDescent="0.25">
      <c r="A8" s="12" t="s">
        <v>158</v>
      </c>
    </row>
  </sheetData>
  <hyperlinks>
    <hyperlink ref="I2" location="'Teams Messages'!A2" display="View messages" xr:uid="{00000000-0004-0000-0600-000000000000}"/>
    <hyperlink ref="I3" location="'Teams Messages'!A5" display="View messages" xr:uid="{00000000-0004-0000-0600-000001000000}"/>
    <hyperlink ref="I4" location="'Teams Messages'!A8" display="View messages" xr:uid="{00000000-0004-0000-0600-000002000000}"/>
  </hyperlinks>
  <pageMargins left="0.75" right="0.75" top="1" bottom="1" header="0.5" footer="0.5"/>
  <headerFooter>
    <oddFooter>&amp;LCompleteTech LLC · Innovation at Every Integration · complete.tech&amp;RPage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E3A8A"/>
  </sheetPr>
  <dimension ref="A1:F11"/>
  <sheetViews>
    <sheetView workbookViewId="0">
      <pane ySplit="1" topLeftCell="A2" activePane="bottomLeft" state="frozen"/>
      <selection pane="bottomLeft"/>
    </sheetView>
  </sheetViews>
  <sheetFormatPr defaultRowHeight="15" x14ac:dyDescent="0.25"/>
  <cols>
    <col min="1" max="1" width="11" customWidth="1"/>
    <col min="2" max="2" width="9" customWidth="1"/>
    <col min="3" max="3" width="40" customWidth="1"/>
    <col min="4" max="4" width="12" customWidth="1"/>
    <col min="5" max="5" width="130" customWidth="1"/>
    <col min="6" max="6" width="16" customWidth="1"/>
  </cols>
  <sheetData>
    <row r="1" spans="1:6" x14ac:dyDescent="0.25">
      <c r="A1" s="8" t="s">
        <v>75</v>
      </c>
      <c r="B1" s="8" t="s">
        <v>159</v>
      </c>
      <c r="C1" s="8" t="s">
        <v>146</v>
      </c>
      <c r="D1" s="8" t="s">
        <v>160</v>
      </c>
      <c r="E1" s="8" t="s">
        <v>161</v>
      </c>
      <c r="F1" s="8" t="s">
        <v>162</v>
      </c>
    </row>
    <row r="2" spans="1:6" x14ac:dyDescent="0.25">
      <c r="A2" s="26">
        <v>46204</v>
      </c>
      <c r="B2" s="28">
        <v>0.37847222222222221</v>
      </c>
      <c r="C2" s="27" t="s">
        <v>153</v>
      </c>
      <c r="D2" s="27" t="s">
        <v>163</v>
      </c>
      <c r="E2" s="27" t="s">
        <v>164</v>
      </c>
      <c r="F2" s="25" t="s">
        <v>165</v>
      </c>
    </row>
    <row r="3" spans="1:6" x14ac:dyDescent="0.25">
      <c r="A3" s="36">
        <v>46204</v>
      </c>
      <c r="B3" s="37">
        <v>0.38055555555555548</v>
      </c>
      <c r="C3" s="38" t="s">
        <v>153</v>
      </c>
      <c r="D3" s="38" t="s">
        <v>166</v>
      </c>
      <c r="E3" s="38" t="s">
        <v>167</v>
      </c>
      <c r="F3" s="25" t="s">
        <v>165</v>
      </c>
    </row>
    <row r="4" spans="1:6" x14ac:dyDescent="0.25">
      <c r="A4" s="26">
        <v>46204</v>
      </c>
      <c r="B4" s="28">
        <v>0.3888888888888889</v>
      </c>
      <c r="C4" s="27" t="s">
        <v>153</v>
      </c>
      <c r="D4" s="27" t="s">
        <v>163</v>
      </c>
      <c r="E4" s="27" t="s">
        <v>168</v>
      </c>
      <c r="F4" s="25" t="s">
        <v>165</v>
      </c>
    </row>
    <row r="5" spans="1:6" x14ac:dyDescent="0.25">
      <c r="A5" s="26">
        <v>46209</v>
      </c>
      <c r="B5" s="28">
        <v>0.41666666666666669</v>
      </c>
      <c r="C5" s="27" t="s">
        <v>153</v>
      </c>
      <c r="D5" s="27" t="s">
        <v>163</v>
      </c>
      <c r="E5" s="27" t="s">
        <v>169</v>
      </c>
      <c r="F5" s="25" t="s">
        <v>170</v>
      </c>
    </row>
    <row r="6" spans="1:6" x14ac:dyDescent="0.25">
      <c r="A6" s="36">
        <v>46209</v>
      </c>
      <c r="B6" s="37">
        <v>0.41805555555555562</v>
      </c>
      <c r="C6" s="38" t="s">
        <v>153</v>
      </c>
      <c r="D6" s="38" t="s">
        <v>166</v>
      </c>
      <c r="E6" s="38" t="s">
        <v>171</v>
      </c>
      <c r="F6" s="25" t="s">
        <v>170</v>
      </c>
    </row>
    <row r="7" spans="1:6" x14ac:dyDescent="0.25">
      <c r="A7" s="26">
        <v>46212</v>
      </c>
      <c r="B7" s="28">
        <v>0.625</v>
      </c>
      <c r="C7" s="27" t="s">
        <v>172</v>
      </c>
      <c r="D7" s="27" t="s">
        <v>173</v>
      </c>
      <c r="E7" s="27" t="s">
        <v>174</v>
      </c>
    </row>
    <row r="8" spans="1:6" x14ac:dyDescent="0.25">
      <c r="A8" s="26">
        <v>46218</v>
      </c>
      <c r="B8" s="28">
        <v>0.54027777777777775</v>
      </c>
      <c r="C8" s="27" t="s">
        <v>130</v>
      </c>
      <c r="D8" s="27" t="s">
        <v>163</v>
      </c>
      <c r="E8" s="27" t="s">
        <v>175</v>
      </c>
      <c r="F8" s="25" t="s">
        <v>176</v>
      </c>
    </row>
    <row r="9" spans="1:6" x14ac:dyDescent="0.25">
      <c r="A9" s="36">
        <v>46218</v>
      </c>
      <c r="B9" s="37">
        <v>0.54236111111111107</v>
      </c>
      <c r="C9" s="38" t="s">
        <v>130</v>
      </c>
      <c r="D9" s="38" t="s">
        <v>166</v>
      </c>
      <c r="E9" s="38" t="s">
        <v>177</v>
      </c>
      <c r="F9" s="25" t="s">
        <v>176</v>
      </c>
    </row>
    <row r="11" spans="1:6" x14ac:dyDescent="0.25">
      <c r="A11" s="12" t="s">
        <v>178</v>
      </c>
    </row>
  </sheetData>
  <autoFilter ref="A1:F9" xr:uid="{00000000-0009-0000-0000-000007000000}"/>
  <hyperlinks>
    <hyperlink ref="F2" location="'Teams Sessions'!A2" display="Session row 2" xr:uid="{00000000-0004-0000-0700-000000000000}"/>
    <hyperlink ref="F3" location="'Teams Sessions'!A2" display="Session row 2" xr:uid="{00000000-0004-0000-0700-000001000000}"/>
    <hyperlink ref="F4" location="'Teams Sessions'!A2" display="Session row 2" xr:uid="{00000000-0004-0000-0700-000002000000}"/>
    <hyperlink ref="F5" location="'Teams Sessions'!A3" display="Session row 3" xr:uid="{00000000-0004-0000-0700-000003000000}"/>
    <hyperlink ref="F6" location="'Teams Sessions'!A3" display="Session row 3" xr:uid="{00000000-0004-0000-0700-000004000000}"/>
    <hyperlink ref="F8" location="'Teams Sessions'!A4" display="Session row 4" xr:uid="{00000000-0004-0000-0700-000005000000}"/>
    <hyperlink ref="F9" location="'Teams Sessions'!A4" display="Session row 4" xr:uid="{00000000-0004-0000-0700-000006000000}"/>
  </hyperlinks>
  <pageMargins left="0.75" right="0.75" top="1" bottom="1" header="0.5" footer="0.5"/>
  <headerFooter>
    <oddFooter>&amp;LCompleteTech LLC · Innovation at Every Integration · complete.tech&amp;RPage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E3A8A"/>
  </sheetPr>
  <dimension ref="A1:K6"/>
  <sheetViews>
    <sheetView workbookViewId="0">
      <pane xSplit="2" ySplit="1" topLeftCell="C2" activePane="bottomRight" state="frozen"/>
      <selection pane="topRight"/>
      <selection pane="bottomLeft"/>
      <selection pane="bottomRight"/>
    </sheetView>
  </sheetViews>
  <sheetFormatPr defaultRowHeight="15" x14ac:dyDescent="0.25"/>
  <cols>
    <col min="1" max="1" width="5" customWidth="1"/>
    <col min="2" max="2" width="70" customWidth="1"/>
    <col min="3" max="3" width="36" customWidth="1"/>
    <col min="4" max="4" width="24" customWidth="1"/>
    <col min="5" max="5" width="11" customWidth="1"/>
    <col min="6" max="6" width="34" customWidth="1"/>
    <col min="7" max="8" width="11" customWidth="1"/>
    <col min="9" max="9" width="12" customWidth="1"/>
    <col min="10" max="10" width="50" customWidth="1"/>
    <col min="11" max="11" width="11" customWidth="1"/>
  </cols>
  <sheetData>
    <row r="1" spans="1:11" ht="25.5" x14ac:dyDescent="0.25">
      <c r="A1" s="8" t="s">
        <v>179</v>
      </c>
      <c r="B1" s="8" t="s">
        <v>180</v>
      </c>
      <c r="C1" s="8" t="s">
        <v>181</v>
      </c>
      <c r="D1" s="8" t="s">
        <v>182</v>
      </c>
      <c r="E1" s="8" t="s">
        <v>183</v>
      </c>
      <c r="F1" s="8" t="s">
        <v>122</v>
      </c>
      <c r="G1" s="8" t="s">
        <v>184</v>
      </c>
      <c r="H1" s="8" t="s">
        <v>185</v>
      </c>
      <c r="I1" s="8" t="s">
        <v>186</v>
      </c>
      <c r="J1" s="8" t="s">
        <v>187</v>
      </c>
      <c r="K1" s="8" t="s">
        <v>124</v>
      </c>
    </row>
    <row r="2" spans="1:11" x14ac:dyDescent="0.25">
      <c r="A2" s="27">
        <v>1</v>
      </c>
      <c r="B2" s="27" t="s">
        <v>188</v>
      </c>
      <c r="C2" s="27" t="s">
        <v>189</v>
      </c>
      <c r="D2" s="27" t="s">
        <v>163</v>
      </c>
      <c r="E2" s="26">
        <v>46204</v>
      </c>
      <c r="F2" s="27" t="s">
        <v>190</v>
      </c>
      <c r="G2" s="39">
        <v>2</v>
      </c>
      <c r="H2" s="39">
        <v>4</v>
      </c>
      <c r="I2" s="40">
        <f>AVERAGE(G2:H2)</f>
        <v>3</v>
      </c>
      <c r="J2" s="27" t="s">
        <v>191</v>
      </c>
      <c r="K2" s="27" t="s">
        <v>192</v>
      </c>
    </row>
    <row r="3" spans="1:11" x14ac:dyDescent="0.25">
      <c r="A3" s="27">
        <v>2</v>
      </c>
      <c r="B3" s="27" t="s">
        <v>193</v>
      </c>
      <c r="C3" s="27" t="s">
        <v>194</v>
      </c>
      <c r="D3" s="27" t="s">
        <v>195</v>
      </c>
      <c r="E3" s="26">
        <v>46205</v>
      </c>
      <c r="F3" s="27" t="s">
        <v>196</v>
      </c>
      <c r="G3" s="39">
        <v>1</v>
      </c>
      <c r="H3" s="39">
        <v>2</v>
      </c>
      <c r="I3" s="40">
        <f>AVERAGE(G3:H3)</f>
        <v>1.5</v>
      </c>
      <c r="J3" s="27" t="s">
        <v>197</v>
      </c>
      <c r="K3" s="27" t="s">
        <v>198</v>
      </c>
    </row>
    <row r="4" spans="1:11" x14ac:dyDescent="0.25">
      <c r="B4" s="7" t="s">
        <v>199</v>
      </c>
      <c r="G4" s="6">
        <f>SUM(G2:G3)</f>
        <v>3</v>
      </c>
      <c r="H4" s="6">
        <f>SUM(H2:H3)</f>
        <v>6</v>
      </c>
      <c r="I4" s="6">
        <f>SUM(I2:I3)</f>
        <v>4.5</v>
      </c>
    </row>
    <row r="6" spans="1:11" x14ac:dyDescent="0.25">
      <c r="B6" s="12" t="s">
        <v>200</v>
      </c>
    </row>
  </sheetData>
  <autoFilter ref="A1:K3" xr:uid="{00000000-0009-0000-0000-000008000000}"/>
  <pageMargins left="0.75" right="0.75" top="1" bottom="1" header="0.5" footer="0.5"/>
  <headerFooter>
    <oddFooter>&amp;LCompleteTech LLC · Innovation at Every Integration · complete.tech&amp;RPage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E3A8A"/>
  </sheetPr>
  <dimension ref="A1:H15"/>
  <sheetViews>
    <sheetView workbookViewId="0">
      <pane ySplit="1" topLeftCell="A2" activePane="bottomLeft" state="frozen"/>
      <selection pane="bottomLeft"/>
    </sheetView>
  </sheetViews>
  <sheetFormatPr defaultRowHeight="15" x14ac:dyDescent="0.25"/>
  <cols>
    <col min="1" max="1" width="11" customWidth="1"/>
    <col min="2" max="3" width="9" customWidth="1"/>
    <col min="4" max="4" width="15" customWidth="1"/>
    <col min="5" max="5" width="34" customWidth="1"/>
    <col min="6" max="6" width="40" customWidth="1"/>
    <col min="7" max="7" width="90" customWidth="1"/>
    <col min="8" max="8" width="20" customWidth="1"/>
  </cols>
  <sheetData>
    <row r="1" spans="1:8" x14ac:dyDescent="0.25">
      <c r="A1" s="8" t="s">
        <v>75</v>
      </c>
      <c r="B1" s="8" t="s">
        <v>159</v>
      </c>
      <c r="C1" s="8" t="s">
        <v>201</v>
      </c>
      <c r="D1" s="8" t="s">
        <v>33</v>
      </c>
      <c r="E1" s="8" t="s">
        <v>202</v>
      </c>
      <c r="F1" s="8" t="s">
        <v>203</v>
      </c>
      <c r="G1" s="8" t="s">
        <v>204</v>
      </c>
      <c r="H1" s="8" t="s">
        <v>205</v>
      </c>
    </row>
    <row r="2" spans="1:8" x14ac:dyDescent="0.25">
      <c r="A2" s="26">
        <v>46204</v>
      </c>
      <c r="B2" s="28"/>
      <c r="C2" s="27" t="s">
        <v>206</v>
      </c>
      <c r="D2" s="27" t="s">
        <v>207</v>
      </c>
      <c r="E2" s="27" t="s">
        <v>208</v>
      </c>
      <c r="F2" s="27" t="s">
        <v>209</v>
      </c>
      <c r="G2" s="27"/>
      <c r="H2" s="27" t="s">
        <v>210</v>
      </c>
    </row>
    <row r="3" spans="1:8" x14ac:dyDescent="0.25">
      <c r="A3" s="26">
        <v>46204</v>
      </c>
      <c r="B3" s="28">
        <v>0.37847222222222221</v>
      </c>
      <c r="C3" s="27" t="s">
        <v>189</v>
      </c>
      <c r="D3" s="27" t="s">
        <v>146</v>
      </c>
      <c r="E3" s="27" t="s">
        <v>153</v>
      </c>
      <c r="F3" s="27" t="s">
        <v>163</v>
      </c>
      <c r="G3" s="27" t="s">
        <v>164</v>
      </c>
      <c r="H3" s="27" t="s">
        <v>211</v>
      </c>
    </row>
    <row r="4" spans="1:8" x14ac:dyDescent="0.25">
      <c r="A4" s="26">
        <v>46204</v>
      </c>
      <c r="B4" s="28">
        <v>0.38055555555555548</v>
      </c>
      <c r="C4" s="27" t="s">
        <v>189</v>
      </c>
      <c r="D4" s="27" t="s">
        <v>146</v>
      </c>
      <c r="E4" s="27" t="s">
        <v>153</v>
      </c>
      <c r="F4" s="27" t="s">
        <v>166</v>
      </c>
      <c r="G4" s="27" t="s">
        <v>167</v>
      </c>
      <c r="H4" s="27" t="s">
        <v>160</v>
      </c>
    </row>
    <row r="5" spans="1:8" x14ac:dyDescent="0.25">
      <c r="A5" s="26">
        <v>46204</v>
      </c>
      <c r="B5" s="28">
        <v>0.3888888888888889</v>
      </c>
      <c r="C5" s="27" t="s">
        <v>189</v>
      </c>
      <c r="D5" s="27" t="s">
        <v>146</v>
      </c>
      <c r="E5" s="27" t="s">
        <v>153</v>
      </c>
      <c r="F5" s="27" t="s">
        <v>163</v>
      </c>
      <c r="G5" s="27" t="s">
        <v>168</v>
      </c>
      <c r="H5" s="27" t="s">
        <v>211</v>
      </c>
    </row>
    <row r="6" spans="1:8" x14ac:dyDescent="0.25">
      <c r="A6" s="26">
        <v>46205</v>
      </c>
      <c r="B6" s="28"/>
      <c r="C6" s="27" t="s">
        <v>206</v>
      </c>
      <c r="D6" s="27" t="s">
        <v>212</v>
      </c>
      <c r="E6" s="27" t="s">
        <v>213</v>
      </c>
      <c r="F6" s="27" t="s">
        <v>214</v>
      </c>
      <c r="G6" s="27"/>
      <c r="H6" s="27" t="s">
        <v>215</v>
      </c>
    </row>
    <row r="7" spans="1:8" x14ac:dyDescent="0.25">
      <c r="A7" s="26">
        <v>46205</v>
      </c>
      <c r="B7" s="28"/>
      <c r="C7" s="27" t="s">
        <v>206</v>
      </c>
      <c r="D7" s="27" t="s">
        <v>216</v>
      </c>
      <c r="E7" s="27" t="s">
        <v>217</v>
      </c>
      <c r="F7" s="27" t="s">
        <v>218</v>
      </c>
      <c r="G7" s="27" t="s">
        <v>219</v>
      </c>
      <c r="H7" s="27" t="s">
        <v>220</v>
      </c>
    </row>
    <row r="8" spans="1:8" x14ac:dyDescent="0.25">
      <c r="A8" s="26">
        <v>46205</v>
      </c>
      <c r="B8" s="28"/>
      <c r="C8" s="27" t="s">
        <v>206</v>
      </c>
      <c r="D8" s="27" t="s">
        <v>216</v>
      </c>
      <c r="E8" s="27" t="s">
        <v>217</v>
      </c>
      <c r="F8" s="27" t="s">
        <v>221</v>
      </c>
      <c r="G8" s="27" t="s">
        <v>222</v>
      </c>
      <c r="H8" s="27" t="s">
        <v>220</v>
      </c>
    </row>
    <row r="9" spans="1:8" x14ac:dyDescent="0.25">
      <c r="A9" s="26">
        <v>46209</v>
      </c>
      <c r="B9" s="28">
        <v>0.41666666666666669</v>
      </c>
      <c r="C9" s="27" t="s">
        <v>189</v>
      </c>
      <c r="D9" s="27" t="s">
        <v>146</v>
      </c>
      <c r="E9" s="27" t="s">
        <v>153</v>
      </c>
      <c r="F9" s="27" t="s">
        <v>163</v>
      </c>
      <c r="G9" s="27" t="s">
        <v>169</v>
      </c>
      <c r="H9" s="27" t="s">
        <v>211</v>
      </c>
    </row>
    <row r="10" spans="1:8" x14ac:dyDescent="0.25">
      <c r="A10" s="26">
        <v>46209</v>
      </c>
      <c r="B10" s="28">
        <v>0.41805555555555562</v>
      </c>
      <c r="C10" s="27" t="s">
        <v>189</v>
      </c>
      <c r="D10" s="27" t="s">
        <v>146</v>
      </c>
      <c r="E10" s="27" t="s">
        <v>153</v>
      </c>
      <c r="F10" s="27" t="s">
        <v>166</v>
      </c>
      <c r="G10" s="27" t="s">
        <v>171</v>
      </c>
      <c r="H10" s="27" t="s">
        <v>160</v>
      </c>
    </row>
    <row r="11" spans="1:8" x14ac:dyDescent="0.25">
      <c r="A11" s="26">
        <v>46212</v>
      </c>
      <c r="B11" s="28">
        <v>0.625</v>
      </c>
      <c r="C11" s="27" t="s">
        <v>189</v>
      </c>
      <c r="D11" s="27" t="s">
        <v>146</v>
      </c>
      <c r="E11" s="27" t="s">
        <v>172</v>
      </c>
      <c r="F11" s="27" t="s">
        <v>173</v>
      </c>
      <c r="G11" s="27" t="s">
        <v>174</v>
      </c>
      <c r="H11" s="27" t="s">
        <v>211</v>
      </c>
    </row>
    <row r="12" spans="1:8" x14ac:dyDescent="0.25">
      <c r="A12" s="26">
        <v>46218</v>
      </c>
      <c r="B12" s="28">
        <v>0.54027777777777775</v>
      </c>
      <c r="C12" s="27" t="s">
        <v>189</v>
      </c>
      <c r="D12" s="27" t="s">
        <v>146</v>
      </c>
      <c r="E12" s="27" t="s">
        <v>130</v>
      </c>
      <c r="F12" s="27" t="s">
        <v>163</v>
      </c>
      <c r="G12" s="27" t="s">
        <v>175</v>
      </c>
      <c r="H12" s="27" t="s">
        <v>211</v>
      </c>
    </row>
    <row r="13" spans="1:8" x14ac:dyDescent="0.25">
      <c r="A13" s="26">
        <v>46218</v>
      </c>
      <c r="B13" s="28">
        <v>0.54236111111111107</v>
      </c>
      <c r="C13" s="27" t="s">
        <v>189</v>
      </c>
      <c r="D13" s="27" t="s">
        <v>146</v>
      </c>
      <c r="E13" s="27" t="s">
        <v>130</v>
      </c>
      <c r="F13" s="27" t="s">
        <v>166</v>
      </c>
      <c r="G13" s="27" t="s">
        <v>177</v>
      </c>
      <c r="H13" s="27" t="s">
        <v>160</v>
      </c>
    </row>
    <row r="15" spans="1:8" x14ac:dyDescent="0.25">
      <c r="A15" s="12" t="s">
        <v>223</v>
      </c>
    </row>
  </sheetData>
  <autoFilter ref="A1:H13" xr:uid="{00000000-0009-0000-0000-000009000000}"/>
  <pageMargins left="0.75" right="0.75" top="1" bottom="1" header="0.5" footer="0.5"/>
  <headerFooter>
    <oddFooter>&amp;LCompleteTech LLC · Innovation at Every Integration · complete.tech&amp;RPage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E3A8A"/>
  </sheetPr>
  <dimension ref="A1:C4"/>
  <sheetViews>
    <sheetView workbookViewId="0">
      <pane ySplit="1" topLeftCell="A2" activePane="bottomLeft" state="frozen"/>
      <selection pane="bottomLeft"/>
    </sheetView>
  </sheetViews>
  <sheetFormatPr defaultRowHeight="15" x14ac:dyDescent="0.25"/>
  <cols>
    <col min="1" max="1" width="28" customWidth="1"/>
    <col min="2" max="2" width="10" customWidth="1"/>
    <col min="3" max="3" width="9" customWidth="1"/>
  </cols>
  <sheetData>
    <row r="1" spans="1:3" x14ac:dyDescent="0.25">
      <c r="A1" s="8" t="s">
        <v>224</v>
      </c>
      <c r="B1" s="8" t="s">
        <v>225</v>
      </c>
      <c r="C1" s="8" t="s">
        <v>83</v>
      </c>
    </row>
    <row r="2" spans="1:3" x14ac:dyDescent="0.25">
      <c r="A2" s="5" t="s">
        <v>218</v>
      </c>
      <c r="B2" s="5">
        <f>COUNTIFS(Communications!$F$2:$F$13,$A2,Communications!$D$2:$D$13,"Alert / system",Communications!$A$2:$A$13,"&gt;=46204",Communications!$A$2:$A$13,"&lt;=46234")</f>
        <v>1</v>
      </c>
      <c r="C2" s="5">
        <f>SUM(B2:B2)</f>
        <v>1</v>
      </c>
    </row>
    <row r="3" spans="1:3" x14ac:dyDescent="0.25">
      <c r="A3" s="5" t="s">
        <v>221</v>
      </c>
      <c r="B3" s="5">
        <f>COUNTIFS(Communications!$F$2:$F$13,$A3,Communications!$D$2:$D$13,"Alert / system",Communications!$A$2:$A$13,"&gt;=46204",Communications!$A$2:$A$13,"&lt;=46234")</f>
        <v>1</v>
      </c>
      <c r="C3" s="5">
        <f>SUM(B3:B3)</f>
        <v>1</v>
      </c>
    </row>
    <row r="4" spans="1:3" x14ac:dyDescent="0.25">
      <c r="A4" s="7" t="s">
        <v>83</v>
      </c>
      <c r="B4" s="7">
        <f>SUM(B2:B3)</f>
        <v>2</v>
      </c>
      <c r="C4" s="7">
        <f>SUM(C2:C3)</f>
        <v>2</v>
      </c>
    </row>
  </sheetData>
  <pageMargins left="0.75" right="0.75" top="1" bottom="1" header="0.5" footer="0.5"/>
  <headerFooter>
    <oddFooter>&amp;LCompleteTech LLC · Innovation at Every Integration · complete.tech&amp;RPage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Summary</vt:lpstr>
      <vt:lpstr>Time Spent</vt:lpstr>
      <vt:lpstr>Calendar View</vt:lpstr>
      <vt:lpstr>Daily Time</vt:lpstr>
      <vt:lpstr>Day Detail</vt:lpstr>
      <vt:lpstr>Meetings</vt:lpstr>
      <vt:lpstr>Teams Sessions</vt:lpstr>
      <vt:lpstr>Teams Messages</vt:lpstr>
      <vt:lpstr>Tasks</vt:lpstr>
      <vt:lpstr>Communications</vt:lpstr>
      <vt:lpstr>Alert Rollup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Timothy Gregg</cp:lastModifiedBy>
  <dcterms:created xsi:type="dcterms:W3CDTF">2026-10-02T16:34:21Z</dcterms:created>
  <dcterms:modified xsi:type="dcterms:W3CDTF">2026-10-02T16:34:22Z</dcterms:modified>
</cp:coreProperties>
</file>